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09"/>
  <workbookPr codeName="ThisWorkbook" defaultThemeVersion="166925"/>
  <mc:AlternateContent xmlns:mc="http://schemas.openxmlformats.org/markup-compatibility/2006">
    <mc:Choice Requires="x15">
      <x15ac:absPath xmlns:x15ac="http://schemas.microsoft.com/office/spreadsheetml/2010/11/ac" url="/Users/nadeem/Downloads/"/>
    </mc:Choice>
  </mc:AlternateContent>
  <xr:revisionPtr revIDLastSave="0" documentId="13_ncr:1_{8B5EBB01-25CF-4146-B53B-FA60803670B1}" xr6:coauthVersionLast="47" xr6:coauthVersionMax="47" xr10:uidLastSave="{00000000-0000-0000-0000-000000000000}"/>
  <bookViews>
    <workbookView xWindow="30240" yWindow="-1460" windowWidth="38400" windowHeight="19860" activeTab="1" xr2:uid="{00000000-000D-0000-FFFF-FFFF00000000}"/>
  </bookViews>
  <sheets>
    <sheet name="Version History" sheetId="15" state="hidden" r:id="rId1"/>
    <sheet name="Part 2" sheetId="10" r:id="rId2"/>
    <sheet name="Hidden" sheetId="3" state="veryHidden" r:id="rId3"/>
    <sheet name="Lists" sheetId="9" state="veryHidden" r:id="rId4"/>
  </sheets>
  <externalReferences>
    <externalReference r:id="rId5"/>
    <externalReference r:id="rId6"/>
    <externalReference r:id="rId7"/>
    <externalReference r:id="rId8"/>
    <externalReference r:id="rId9"/>
    <externalReference r:id="rId10"/>
  </externalReferences>
  <definedNames>
    <definedName name="_xlnm._FilterDatabase" localSheetId="2" hidden="1">Hidden!$B$6:$I$179</definedName>
    <definedName name="_Toc102746743" localSheetId="0">'Version History'!$B$3</definedName>
    <definedName name="_Toc102746744" localSheetId="0">'Version History'!$B$5</definedName>
    <definedName name="_Toc102746745" localSheetId="0">'Version History'!$B$20</definedName>
    <definedName name="_Toc102746746" localSheetId="0">'Version History'!$B$26</definedName>
    <definedName name="_Toc102746747" localSheetId="0">'Version History'!$B$30</definedName>
    <definedName name="_Toc413422767" localSheetId="0">'Version History'!$B$25</definedName>
    <definedName name="_Toc494350877" localSheetId="0">'Version History'!$B$4</definedName>
    <definedName name="_Toc494350878" localSheetId="0">'Version History'!$B$19</definedName>
    <definedName name="AM5.1" localSheetId="0">!#REF!</definedName>
    <definedName name="AM5.1">!#REF!</definedName>
    <definedName name="AM6.1" localSheetId="0">!#REF!</definedName>
    <definedName name="AM6.1">!#REF!</definedName>
    <definedName name="AM6.2" localSheetId="0">!#REF!</definedName>
    <definedName name="AM6.2">!#REF!</definedName>
    <definedName name="Amber_1">'[1]A1 IS Organisation &amp; Management'!$K$28</definedName>
    <definedName name="Amber_2">'[1]A2 Asset Management'!$K$16</definedName>
    <definedName name="Amber_3">'[1]A3 Personnel Security'!$K$25</definedName>
    <definedName name="Amber_4">'[1]A4 Physical &amp; Environmental Sec'!$K$37</definedName>
    <definedName name="Amber_5">'[1]A5 Comms &amp; Ops Mgt'!$K$46</definedName>
    <definedName name="Amber_6">'[1]A6 Access Control'!$K$37</definedName>
    <definedName name="Amber_7">'[1]A7 Systems Dev &amp; Main Sec'!$K$30</definedName>
    <definedName name="Amber_8">'[1]A8 IS Incident Mgt'!$K$16</definedName>
    <definedName name="Asr_Questionnaire">#REF!</definedName>
    <definedName name="availability" localSheetId="0">!#REF!</definedName>
    <definedName name="availability">!#REF!</definedName>
    <definedName name="availability_impact" localSheetId="0">!#REF!</definedName>
    <definedName name="availability_impact">!#REF!</definedName>
    <definedName name="availabilityratingrow" localSheetId="0">!#REF!</definedName>
    <definedName name="availabilityratingrow">!#REF!</definedName>
    <definedName name="BC8.1" localSheetId="0">!#REF!</definedName>
    <definedName name="BC8.1">!#REF!</definedName>
    <definedName name="BC8.2">!#REF!</definedName>
    <definedName name="BIRT_password">!#REF!</definedName>
    <definedName name="box_high">!#REF!</definedName>
    <definedName name="box_low">!#REF!</definedName>
    <definedName name="box_medium">!#REF!</definedName>
    <definedName name="CO9.1">!#REF!</definedName>
    <definedName name="CO9.3">!#REF!</definedName>
    <definedName name="CO9.4">!#REF!</definedName>
    <definedName name="CO9.6b">!#REF!</definedName>
    <definedName name="CObITv4.1Lookup">[2]Calc!$CR$3:$CT$250</definedName>
    <definedName name="COBITv4.1Overall">[2]Calc!$DG$8</definedName>
    <definedName name="CObITv4.1Scores">[2]Calc!$CY$3:$CZ$212</definedName>
    <definedName name="CObITv4.1ScoresD">[2]Calc!$DF$3:$DG$6</definedName>
    <definedName name="CObITv4.1ScoresP">[2]Calc!$DD$3:$DE$36</definedName>
    <definedName name="CObITv4Lookup">[3]Calc!$BZ$3:$CB$255</definedName>
    <definedName name="COBITv4Overall">[2]Calc!$CP$8</definedName>
    <definedName name="CObITv4Scores">[2]Calc!$CH$3:$CI$217</definedName>
    <definedName name="CObITv4ScoresD">[2]Calc!$CO$3:$CP$6</definedName>
    <definedName name="CObITv4ScoresP">[2]Calc!$CM$3:$CN$36</definedName>
    <definedName name="Comp_Ctrls">#REF!</definedName>
    <definedName name="completed">[2]Main_Questions!$A$2</definedName>
    <definedName name="Conf" localSheetId="0">#REF!</definedName>
    <definedName name="Conf">#REF!</definedName>
    <definedName name="confidentiality" localSheetId="0">!#REF!</definedName>
    <definedName name="confidentiality">!#REF!</definedName>
    <definedName name="confidentiality_impact" localSheetId="0">!#REF!</definedName>
    <definedName name="confidentiality_impact">!#REF!</definedName>
    <definedName name="confidentialityratingrow">!#REF!</definedName>
    <definedName name="crit_timescale">!#REF!</definedName>
    <definedName name="environment_type">[2]Profile!$T$2:$T$11</definedName>
    <definedName name="FIRM2005Lookup">[2]Calc!$AJ$3:$AL$23</definedName>
    <definedName name="first_action">!#REF!</definedName>
    <definedName name="Green_1">'[1]A1 IS Organisation &amp; Management'!$K$27</definedName>
    <definedName name="Green_2">'[1]A2 Asset Management'!$K$15</definedName>
    <definedName name="Green_3">'[1]A3 Personnel Security'!$K$24</definedName>
    <definedName name="Green_4">'[1]A4 Physical &amp; Environmental Sec'!$K$36</definedName>
    <definedName name="Green_5">'[1]A5 Comms &amp; Ops Mgt'!$K$45</definedName>
    <definedName name="Green_6">'[1]A6 Access Control'!$K$36</definedName>
    <definedName name="Green_7">'[1]A7 Systems Dev &amp; Main Sec'!$K$29</definedName>
    <definedName name="Green_8">'[1]A8 IS Incident Mgt'!$K$15</definedName>
    <definedName name="HR3.1">!#REF!</definedName>
    <definedName name="HR3.2">!#REF!</definedName>
    <definedName name="HR3.3">!#REF!</definedName>
    <definedName name="HR3.4">!#REF!</definedName>
    <definedName name="HR3.5">!#REF!</definedName>
    <definedName name="HR3.6">!#REF!</definedName>
    <definedName name="HR3.7">!#REF!</definedName>
    <definedName name="HR3.8">!#REF!</definedName>
    <definedName name="HR3.9">!#REF!</definedName>
    <definedName name="IM7.1">!#REF!</definedName>
    <definedName name="IM7.3">!#REF!</definedName>
    <definedName name="IM7.4">!#REF!</definedName>
    <definedName name="Impl_Tiers">#REF!</definedName>
    <definedName name="industry_type">[2]Profile!$R$2:$R$28</definedName>
    <definedName name="integrity">!#REF!</definedName>
    <definedName name="integrity_impact">!#REF!</definedName>
    <definedName name="IQ1.0">!#REF!</definedName>
    <definedName name="IQ2.0">!#REF!</definedName>
    <definedName name="IQ2h">!#REF!</definedName>
    <definedName name="IS1.1">!#REF!</definedName>
    <definedName name="IS1.10">!#REF!</definedName>
    <definedName name="IS1.11">!#REF!</definedName>
    <definedName name="IS1.12">!#REF!</definedName>
    <definedName name="IS1.3">!#REF!</definedName>
    <definedName name="IS1.4">!#REF!</definedName>
    <definedName name="IS1.5">!#REF!</definedName>
    <definedName name="IS1.6">!#REF!</definedName>
    <definedName name="IS1.7">!#REF!</definedName>
    <definedName name="IS1.8">!#REF!</definedName>
    <definedName name="IS1.9">!#REF!</definedName>
    <definedName name="ISO2005Lookup">[3]Calc!$BL$1:$BO$65536</definedName>
    <definedName name="ISOLookup" localSheetId="0">[4]Calc!$AF$1:$AI$65536</definedName>
    <definedName name="ISOLookup">[5]Calc!$AF$1:$AI$65536</definedName>
    <definedName name="Legacy_Map">#REF!</definedName>
    <definedName name="lookup" localSheetId="0">!#REF!</definedName>
    <definedName name="lookup">!#REF!</definedName>
    <definedName name="lookup2" localSheetId="0">!#REF!</definedName>
    <definedName name="lookup2">!#REF!</definedName>
    <definedName name="lookup4" localSheetId="0">!#REF!</definedName>
    <definedName name="lookup4">!#REF!</definedName>
    <definedName name="MQInput">[2]Main_Questions!$B$3:$N$286</definedName>
    <definedName name="MQSectionLookup">[2]Main_Questions!$C$3:$N$286</definedName>
    <definedName name="NEW">!#REF!</definedName>
    <definedName name="newname">!#REF!</definedName>
    <definedName name="nextstephigh">!#REF!</definedName>
    <definedName name="nextsteplow">!#REF!</definedName>
    <definedName name="nextstepmedium">!#REF!</definedName>
    <definedName name="Obs_Details">#REF!</definedName>
    <definedName name="OR4.1" localSheetId="0">!#REF!</definedName>
    <definedName name="OR4.1">!#REF!</definedName>
    <definedName name="pass" localSheetId="0">!#REF!</definedName>
    <definedName name="pass">!#REF!</definedName>
    <definedName name="PCIDSSlev1">[2]Calc!$BB$3:$BC$8</definedName>
    <definedName name="PCIDSSlev2">[2]Calc!$AX$3:$AY$14</definedName>
    <definedName name="PCIDSSlev3">[2]Calc!$AT$3:$AU$66</definedName>
    <definedName name="PE2.1">!#REF!</definedName>
    <definedName name="PE2.2">!#REF!</definedName>
    <definedName name="PE2.3">!#REF!</definedName>
    <definedName name="PE2.6">!#REF!</definedName>
    <definedName name="qcount">[2]Calc!$Q$2</definedName>
    <definedName name="qcountselected">[2]Calc!$Q$12</definedName>
    <definedName name="RA1.0">!#REF!</definedName>
    <definedName name="RA10.0">!#REF!</definedName>
    <definedName name="RA11.0">!#REF!</definedName>
    <definedName name="RA12.0">!#REF!</definedName>
    <definedName name="RA13.0">!#REF!</definedName>
    <definedName name="RA14.0">!#REF!</definedName>
    <definedName name="RA2.0">!#REF!</definedName>
    <definedName name="RA3.0">!#REF!</definedName>
    <definedName name="RA4.0">!#REF!</definedName>
    <definedName name="RA5.0">!#REF!</definedName>
    <definedName name="RA6.0">!#REF!</definedName>
    <definedName name="RA7.0">!#REF!</definedName>
    <definedName name="RA8.0">!#REF!</definedName>
    <definedName name="RA9.0">!#REF!</definedName>
    <definedName name="Ratings" localSheetId="0">#REF!</definedName>
    <definedName name="Ratings">#REF!</definedName>
    <definedName name="Red_1">'[1]A1 IS Organisation &amp; Management'!$K$29</definedName>
    <definedName name="Red_2">'[1]A2 Asset Management'!$K$17</definedName>
    <definedName name="Red_3">'[1]A3 Personnel Security'!$K$26</definedName>
    <definedName name="Red_4">'[1]A4 Physical &amp; Environmental Sec'!$K$38</definedName>
    <definedName name="Red_5">'[1]A5 Comms &amp; Ops Mgt'!$K$47</definedName>
    <definedName name="Red_6">'[1]A6 Access Control'!$K$38</definedName>
    <definedName name="Red_7">'[1]A7 Systems Dev &amp; Main Sec'!$K$31</definedName>
    <definedName name="Red_8">'[1]A8 IS Incident Mgt'!$K$17</definedName>
    <definedName name="region_type">[2]Profile!$R$30:$R$49</definedName>
    <definedName name="response_frames">[2]Main_Questions!$Z$4:$Z$14</definedName>
    <definedName name="SHC_Consol_Results">[3]Results_of_Healthcheck!$C$21:$G$270</definedName>
    <definedName name="SHC_Question_Score">[3]Results_of_Healthcheck!$C$22:$G$270</definedName>
    <definedName name="SHscoresaves">[2]Calc!$G$3:$H$286</definedName>
    <definedName name="SP5.1">!#REF!</definedName>
    <definedName name="stuff">[2]Main_Questions!$O$3:$Y$5</definedName>
    <definedName name="sysownersig">!#REF!</definedName>
    <definedName name="sysprofile_1">!#REF!</definedName>
    <definedName name="sysprofile_2">!#REF!</definedName>
    <definedName name="sysprofile_3">!#REF!</definedName>
    <definedName name="sysprofile_4">!#REF!</definedName>
    <definedName name="sysprofile_5">!#REF!</definedName>
    <definedName name="Threat_Type">!#REF!</definedName>
    <definedName name="topimpacttypes">!#REF!</definedName>
    <definedName name="ynm">'[6]3_Personnel_and_HR'!$B$43:$B$46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179" i="3" l="1"/>
  <c r="H178" i="3"/>
  <c r="H177" i="3"/>
  <c r="H176" i="3"/>
  <c r="H175" i="3"/>
  <c r="H174" i="3"/>
  <c r="H173" i="3"/>
  <c r="H172" i="3"/>
  <c r="H171" i="3"/>
  <c r="H169" i="3"/>
  <c r="H168" i="3"/>
  <c r="H167" i="3"/>
  <c r="H166" i="3"/>
  <c r="H165" i="3"/>
  <c r="H164" i="3"/>
  <c r="H163" i="3"/>
  <c r="H162" i="3"/>
  <c r="H160" i="3"/>
  <c r="H159" i="3"/>
  <c r="H158" i="3"/>
  <c r="H157" i="3"/>
  <c r="H156" i="3"/>
  <c r="H155" i="3"/>
  <c r="H154" i="3"/>
  <c r="H153" i="3"/>
  <c r="H152" i="3"/>
  <c r="H151" i="3"/>
  <c r="H150" i="3"/>
  <c r="H149" i="3"/>
  <c r="H148" i="3"/>
  <c r="H147" i="3"/>
  <c r="H146" i="3"/>
  <c r="H145" i="3"/>
  <c r="H144" i="3"/>
  <c r="H142" i="3"/>
  <c r="H141" i="3"/>
  <c r="H140" i="3"/>
  <c r="H139" i="3"/>
  <c r="H138" i="3"/>
  <c r="H137" i="3"/>
  <c r="H136" i="3"/>
  <c r="H135" i="3"/>
  <c r="H134" i="3"/>
  <c r="H133" i="3"/>
  <c r="H131" i="3"/>
  <c r="H130" i="3"/>
  <c r="H129" i="3"/>
  <c r="H128" i="3"/>
  <c r="H127" i="3"/>
  <c r="H126" i="3"/>
  <c r="H125" i="3"/>
  <c r="H124" i="3"/>
  <c r="H123" i="3"/>
  <c r="H122" i="3"/>
  <c r="H121" i="3"/>
  <c r="H120" i="3"/>
  <c r="H119" i="3"/>
  <c r="H118" i="3"/>
  <c r="H117" i="3"/>
  <c r="H115" i="3"/>
  <c r="H114" i="3"/>
  <c r="H113" i="3"/>
  <c r="H112" i="3"/>
  <c r="H111" i="3"/>
  <c r="H110" i="3"/>
  <c r="H109" i="3"/>
  <c r="H108" i="3"/>
  <c r="H107" i="3"/>
  <c r="H106" i="3"/>
  <c r="H104" i="3"/>
  <c r="H103" i="3"/>
  <c r="H102" i="3"/>
  <c r="H101" i="3"/>
  <c r="H100" i="3"/>
  <c r="H99" i="3"/>
  <c r="H98" i="3"/>
  <c r="H97" i="3"/>
  <c r="H96" i="3"/>
  <c r="H95" i="3"/>
  <c r="H94" i="3"/>
  <c r="H93" i="3"/>
  <c r="H92" i="3"/>
  <c r="H91" i="3"/>
  <c r="H90" i="3"/>
  <c r="H89" i="3"/>
  <c r="H88" i="3"/>
  <c r="H86" i="3"/>
  <c r="H85" i="3"/>
  <c r="H84" i="3"/>
  <c r="H83" i="3"/>
  <c r="H82" i="3"/>
  <c r="H81" i="3"/>
  <c r="H80" i="3"/>
  <c r="H79" i="3"/>
  <c r="H78" i="3"/>
  <c r="H77" i="3"/>
  <c r="H76" i="3"/>
  <c r="H74" i="3"/>
  <c r="H73" i="3"/>
  <c r="H72" i="3"/>
  <c r="H71" i="3"/>
  <c r="H70" i="3"/>
  <c r="H69" i="3"/>
  <c r="H68" i="3"/>
  <c r="H67" i="3"/>
  <c r="H65" i="3"/>
  <c r="H64" i="3"/>
  <c r="H63" i="3"/>
  <c r="H62" i="3"/>
  <c r="H61" i="3"/>
  <c r="H60" i="3"/>
  <c r="H59" i="3"/>
  <c r="H58" i="3"/>
  <c r="H57" i="3"/>
  <c r="H56" i="3"/>
  <c r="H55" i="3"/>
  <c r="H54" i="3"/>
  <c r="H53" i="3"/>
  <c r="H52" i="3"/>
  <c r="H51" i="3"/>
  <c r="H50" i="3"/>
  <c r="H49" i="3"/>
  <c r="H47" i="3"/>
  <c r="H46" i="3"/>
  <c r="H45" i="3"/>
  <c r="H44" i="3"/>
  <c r="H43" i="3"/>
  <c r="H42" i="3"/>
  <c r="H41" i="3"/>
  <c r="H40" i="3"/>
  <c r="H39" i="3"/>
  <c r="H38" i="3"/>
  <c r="H37" i="3"/>
  <c r="H35" i="3"/>
  <c r="H34" i="3"/>
  <c r="H33" i="3"/>
  <c r="H32" i="3"/>
  <c r="H31" i="3"/>
  <c r="H30" i="3"/>
  <c r="H29" i="3"/>
  <c r="H28" i="3"/>
  <c r="H27" i="3"/>
  <c r="H26" i="3"/>
  <c r="H25" i="3"/>
  <c r="H24" i="3"/>
  <c r="H22" i="3"/>
  <c r="H21" i="3"/>
  <c r="H20" i="3"/>
  <c r="H19" i="3"/>
  <c r="H18" i="3"/>
  <c r="H17" i="3"/>
  <c r="H16" i="3"/>
  <c r="H14" i="3"/>
  <c r="H13" i="3"/>
  <c r="H12" i="3"/>
  <c r="H11" i="3"/>
  <c r="H10" i="3"/>
  <c r="H9" i="3"/>
  <c r="B105" i="3" l="1"/>
  <c r="B87" i="3"/>
  <c r="B75" i="3"/>
  <c r="B66" i="3"/>
  <c r="E11" i="3"/>
  <c r="I11" i="3" s="1"/>
  <c r="AB15" i="3"/>
  <c r="AA15" i="3"/>
  <c r="Z15" i="3"/>
  <c r="Y15" i="3"/>
  <c r="X15" i="3"/>
  <c r="E179" i="3"/>
  <c r="I179" i="3" s="1"/>
  <c r="E176" i="3"/>
  <c r="I176" i="3" s="1"/>
  <c r="E173" i="3"/>
  <c r="I173" i="3" s="1"/>
  <c r="E168" i="3"/>
  <c r="I168" i="3" s="1"/>
  <c r="E167" i="3"/>
  <c r="I167" i="3" s="1"/>
  <c r="E160" i="3"/>
  <c r="I160" i="3" s="1"/>
  <c r="E159" i="3"/>
  <c r="I159" i="3" s="1"/>
  <c r="E157" i="3"/>
  <c r="I157" i="3" s="1"/>
  <c r="E156" i="3"/>
  <c r="I156" i="3" s="1"/>
  <c r="E152" i="3"/>
  <c r="I152" i="3" s="1"/>
  <c r="E146" i="3"/>
  <c r="I146" i="3" s="1"/>
  <c r="E144" i="3"/>
  <c r="I144" i="3" s="1"/>
  <c r="E142" i="3"/>
  <c r="I142" i="3" s="1"/>
  <c r="E135" i="3"/>
  <c r="I135" i="3" s="1"/>
  <c r="E134" i="3"/>
  <c r="I134" i="3" s="1"/>
  <c r="E130" i="3"/>
  <c r="I130" i="3" s="1"/>
  <c r="E127" i="3"/>
  <c r="I127" i="3" s="1"/>
  <c r="E126" i="3"/>
  <c r="I126" i="3" s="1"/>
  <c r="E123" i="3"/>
  <c r="I123" i="3" s="1"/>
  <c r="E122" i="3"/>
  <c r="I122" i="3" s="1"/>
  <c r="E121" i="3"/>
  <c r="I121" i="3" s="1"/>
  <c r="E119" i="3"/>
  <c r="I119" i="3" s="1"/>
  <c r="E118" i="3"/>
  <c r="I118" i="3" s="1"/>
  <c r="E117" i="3"/>
  <c r="I117" i="3" s="1"/>
  <c r="E115" i="3"/>
  <c r="I115" i="3" s="1"/>
  <c r="E113" i="3"/>
  <c r="I113" i="3" s="1"/>
  <c r="E112" i="3"/>
  <c r="I112" i="3" s="1"/>
  <c r="E109" i="3"/>
  <c r="I109" i="3" s="1"/>
  <c r="E107" i="3"/>
  <c r="I107" i="3" s="1"/>
  <c r="E104" i="3"/>
  <c r="I104" i="3" s="1"/>
  <c r="E103" i="3"/>
  <c r="I103" i="3" s="1"/>
  <c r="E100" i="3"/>
  <c r="I100" i="3" s="1"/>
  <c r="E99" i="3"/>
  <c r="I99" i="3" s="1"/>
  <c r="E97" i="3"/>
  <c r="I97" i="3" s="1"/>
  <c r="E96" i="3"/>
  <c r="I96" i="3" s="1"/>
  <c r="E93" i="3"/>
  <c r="I93" i="3" s="1"/>
  <c r="E91" i="3"/>
  <c r="I91" i="3" s="1"/>
  <c r="E90" i="3"/>
  <c r="I90" i="3" s="1"/>
  <c r="E88" i="3"/>
  <c r="I88" i="3" s="1"/>
  <c r="E84" i="3"/>
  <c r="I84" i="3" s="1"/>
  <c r="E83" i="3"/>
  <c r="I83" i="3" s="1"/>
  <c r="E82" i="3"/>
  <c r="I82" i="3" s="1"/>
  <c r="E79" i="3"/>
  <c r="I79" i="3" s="1"/>
  <c r="E78" i="3"/>
  <c r="I78" i="3" s="1"/>
  <c r="E77" i="3"/>
  <c r="I77" i="3" s="1"/>
  <c r="E74" i="3"/>
  <c r="I74" i="3" s="1"/>
  <c r="E73" i="3"/>
  <c r="I73" i="3" s="1"/>
  <c r="E69" i="3"/>
  <c r="I69" i="3" s="1"/>
  <c r="E67" i="3"/>
  <c r="I67" i="3" s="1"/>
  <c r="E65" i="3"/>
  <c r="I65" i="3" s="1"/>
  <c r="E64" i="3"/>
  <c r="I64" i="3" s="1"/>
  <c r="E62" i="3"/>
  <c r="I62" i="3" s="1"/>
  <c r="E60" i="3"/>
  <c r="I60" i="3" s="1"/>
  <c r="E58" i="3"/>
  <c r="I58" i="3" s="1"/>
  <c r="E57" i="3"/>
  <c r="I57" i="3" s="1"/>
  <c r="E56" i="3"/>
  <c r="I56" i="3" s="1"/>
  <c r="E54" i="3"/>
  <c r="I54" i="3" s="1"/>
  <c r="E52" i="3"/>
  <c r="I52" i="3" s="1"/>
  <c r="E50" i="3"/>
  <c r="I50" i="3" s="1"/>
  <c r="E49" i="3"/>
  <c r="I49" i="3" s="1"/>
  <c r="E47" i="3"/>
  <c r="I47" i="3" s="1"/>
  <c r="E44" i="3"/>
  <c r="I44" i="3" s="1"/>
  <c r="E39" i="3"/>
  <c r="I39" i="3" s="1"/>
  <c r="E38" i="3"/>
  <c r="I38" i="3" s="1"/>
  <c r="E35" i="3"/>
  <c r="I35" i="3" s="1"/>
  <c r="E33" i="3"/>
  <c r="I33" i="3" s="1"/>
  <c r="E32" i="3"/>
  <c r="I32" i="3" s="1"/>
  <c r="E31" i="3"/>
  <c r="I31" i="3" s="1"/>
  <c r="E30" i="3"/>
  <c r="I30" i="3" s="1"/>
  <c r="E29" i="3"/>
  <c r="I29" i="3" s="1"/>
  <c r="E28" i="3"/>
  <c r="I28" i="3" s="1"/>
  <c r="E26" i="3"/>
  <c r="I26" i="3" s="1"/>
  <c r="E25" i="3"/>
  <c r="I25" i="3" s="1"/>
  <c r="E24" i="3"/>
  <c r="I24" i="3" s="1"/>
  <c r="E22" i="3"/>
  <c r="I22" i="3" s="1"/>
  <c r="E21" i="3"/>
  <c r="I21" i="3" s="1"/>
  <c r="E19" i="3"/>
  <c r="I19" i="3" s="1"/>
  <c r="E18" i="3"/>
  <c r="I18" i="3" s="1"/>
  <c r="E16" i="3"/>
  <c r="I16" i="3" s="1"/>
  <c r="C179" i="3"/>
  <c r="C178" i="3"/>
  <c r="C177" i="3"/>
  <c r="C176" i="3"/>
  <c r="C175" i="3"/>
  <c r="C174" i="3"/>
  <c r="C173" i="3"/>
  <c r="C172" i="3"/>
  <c r="C171" i="3"/>
  <c r="C169" i="3"/>
  <c r="C168" i="3"/>
  <c r="C167" i="3"/>
  <c r="C166" i="3"/>
  <c r="C165" i="3"/>
  <c r="C164" i="3"/>
  <c r="C163" i="3"/>
  <c r="C162" i="3"/>
  <c r="C160" i="3"/>
  <c r="C159" i="3"/>
  <c r="C158" i="3"/>
  <c r="C157" i="3"/>
  <c r="C156" i="3"/>
  <c r="C155" i="3"/>
  <c r="C154" i="3"/>
  <c r="C153" i="3"/>
  <c r="C152" i="3"/>
  <c r="C151" i="3"/>
  <c r="C150" i="3"/>
  <c r="C149" i="3"/>
  <c r="C148" i="3"/>
  <c r="C147" i="3"/>
  <c r="C146" i="3"/>
  <c r="C145" i="3"/>
  <c r="C144" i="3"/>
  <c r="C142" i="3"/>
  <c r="C141" i="3"/>
  <c r="C140" i="3"/>
  <c r="C139" i="3"/>
  <c r="C138" i="3"/>
  <c r="C137" i="3"/>
  <c r="C136" i="3"/>
  <c r="C135" i="3"/>
  <c r="C134" i="3"/>
  <c r="C133" i="3"/>
  <c r="C131" i="3"/>
  <c r="C130" i="3"/>
  <c r="C129" i="3"/>
  <c r="C128" i="3"/>
  <c r="C127" i="3"/>
  <c r="C126" i="3"/>
  <c r="C125" i="3"/>
  <c r="C124" i="3"/>
  <c r="C123" i="3"/>
  <c r="C122" i="3"/>
  <c r="C121" i="3"/>
  <c r="C120" i="3"/>
  <c r="C119" i="3"/>
  <c r="C118" i="3"/>
  <c r="C117" i="3"/>
  <c r="C115" i="3"/>
  <c r="C114" i="3"/>
  <c r="C113" i="3"/>
  <c r="C112" i="3"/>
  <c r="C111" i="3"/>
  <c r="C110" i="3"/>
  <c r="C109" i="3"/>
  <c r="C108" i="3"/>
  <c r="C107" i="3"/>
  <c r="C106" i="3"/>
  <c r="C104" i="3"/>
  <c r="C103" i="3"/>
  <c r="C102" i="3"/>
  <c r="C101" i="3"/>
  <c r="C100" i="3"/>
  <c r="C99" i="3"/>
  <c r="C98" i="3"/>
  <c r="C97" i="3"/>
  <c r="C96" i="3"/>
  <c r="C95" i="3"/>
  <c r="C94" i="3"/>
  <c r="C93" i="3"/>
  <c r="C92" i="3"/>
  <c r="C91" i="3"/>
  <c r="C90" i="3"/>
  <c r="C89" i="3"/>
  <c r="C88" i="3"/>
  <c r="C86" i="3"/>
  <c r="C85" i="3"/>
  <c r="C84" i="3"/>
  <c r="C83" i="3"/>
  <c r="C82" i="3"/>
  <c r="C81" i="3"/>
  <c r="C80" i="3"/>
  <c r="C79" i="3"/>
  <c r="C78" i="3"/>
  <c r="C77" i="3"/>
  <c r="C76" i="3"/>
  <c r="C74" i="3"/>
  <c r="C73" i="3"/>
  <c r="C72" i="3"/>
  <c r="C71" i="3"/>
  <c r="C70" i="3"/>
  <c r="C69" i="3"/>
  <c r="C68" i="3"/>
  <c r="C67" i="3"/>
  <c r="C65" i="3"/>
  <c r="C64" i="3"/>
  <c r="C63" i="3"/>
  <c r="C62" i="3"/>
  <c r="C61" i="3"/>
  <c r="C60" i="3"/>
  <c r="C59" i="3"/>
  <c r="C58" i="3"/>
  <c r="C57" i="3"/>
  <c r="C56" i="3"/>
  <c r="C55" i="3"/>
  <c r="C54" i="3"/>
  <c r="C53" i="3"/>
  <c r="C52" i="3"/>
  <c r="C51" i="3"/>
  <c r="C50" i="3"/>
  <c r="C49" i="3"/>
  <c r="C47" i="3"/>
  <c r="C46" i="3"/>
  <c r="C45" i="3"/>
  <c r="C44" i="3"/>
  <c r="C43" i="3"/>
  <c r="C42" i="3"/>
  <c r="C41" i="3"/>
  <c r="C40" i="3"/>
  <c r="C39" i="3"/>
  <c r="C38" i="3"/>
  <c r="C37" i="3"/>
  <c r="C35" i="3"/>
  <c r="C34" i="3"/>
  <c r="C33" i="3"/>
  <c r="C32" i="3"/>
  <c r="C31" i="3"/>
  <c r="C30" i="3"/>
  <c r="C29" i="3"/>
  <c r="C28" i="3"/>
  <c r="C27" i="3"/>
  <c r="C26" i="3"/>
  <c r="C25" i="3"/>
  <c r="C24" i="3"/>
  <c r="C22" i="3"/>
  <c r="C21" i="3"/>
  <c r="C20" i="3"/>
  <c r="C19" i="3"/>
  <c r="C18" i="3"/>
  <c r="C17" i="3"/>
  <c r="C16" i="3"/>
  <c r="C14" i="3"/>
  <c r="C13" i="3"/>
  <c r="C12" i="3"/>
  <c r="C11" i="3"/>
  <c r="C10" i="3"/>
  <c r="C9" i="3"/>
  <c r="C8" i="3"/>
  <c r="E14" i="3"/>
  <c r="I14" i="3" s="1"/>
  <c r="E13" i="3"/>
  <c r="I13" i="3" s="1"/>
  <c r="E12" i="3"/>
  <c r="I12" i="3" s="1"/>
  <c r="E10" i="3"/>
  <c r="I10" i="3" s="1"/>
  <c r="E9" i="3"/>
  <c r="I9" i="3" s="1"/>
  <c r="H8" i="3"/>
  <c r="E8" i="3" s="1"/>
  <c r="I8" i="3" s="1"/>
  <c r="E178" i="3"/>
  <c r="I178" i="3" s="1"/>
  <c r="E177" i="3"/>
  <c r="I177" i="3" s="1"/>
  <c r="E175" i="3"/>
  <c r="I175" i="3" s="1"/>
  <c r="E174" i="3"/>
  <c r="I174" i="3" s="1"/>
  <c r="E172" i="3"/>
  <c r="I172" i="3" s="1"/>
  <c r="E171" i="3"/>
  <c r="I171" i="3" s="1"/>
  <c r="E169" i="3"/>
  <c r="I169" i="3" s="1"/>
  <c r="E166" i="3"/>
  <c r="I166" i="3" s="1"/>
  <c r="E165" i="3"/>
  <c r="I165" i="3" s="1"/>
  <c r="E164" i="3"/>
  <c r="I164" i="3" s="1"/>
  <c r="E163" i="3"/>
  <c r="I163" i="3" s="1"/>
  <c r="E162" i="3"/>
  <c r="I162" i="3" s="1"/>
  <c r="E158" i="3"/>
  <c r="I158" i="3" s="1"/>
  <c r="E155" i="3"/>
  <c r="I155" i="3" s="1"/>
  <c r="E154" i="3"/>
  <c r="I154" i="3" s="1"/>
  <c r="E153" i="3"/>
  <c r="I153" i="3" s="1"/>
  <c r="E151" i="3"/>
  <c r="I151" i="3" s="1"/>
  <c r="E150" i="3"/>
  <c r="I150" i="3" s="1"/>
  <c r="E149" i="3"/>
  <c r="I149" i="3" s="1"/>
  <c r="E148" i="3"/>
  <c r="I148" i="3" s="1"/>
  <c r="E147" i="3"/>
  <c r="I147" i="3" s="1"/>
  <c r="E145" i="3"/>
  <c r="I145" i="3" s="1"/>
  <c r="E141" i="3"/>
  <c r="I141" i="3" s="1"/>
  <c r="E140" i="3"/>
  <c r="I140" i="3" s="1"/>
  <c r="E139" i="3"/>
  <c r="I139" i="3" s="1"/>
  <c r="E138" i="3"/>
  <c r="I138" i="3" s="1"/>
  <c r="E137" i="3"/>
  <c r="I137" i="3" s="1"/>
  <c r="E136" i="3"/>
  <c r="I136" i="3" s="1"/>
  <c r="E133" i="3"/>
  <c r="I133" i="3" s="1"/>
  <c r="E131" i="3"/>
  <c r="I131" i="3" s="1"/>
  <c r="E129" i="3"/>
  <c r="I129" i="3" s="1"/>
  <c r="E128" i="3"/>
  <c r="I128" i="3" s="1"/>
  <c r="E125" i="3"/>
  <c r="I125" i="3" s="1"/>
  <c r="E124" i="3"/>
  <c r="I124" i="3" s="1"/>
  <c r="E120" i="3"/>
  <c r="I120" i="3" s="1"/>
  <c r="E114" i="3"/>
  <c r="I114" i="3" s="1"/>
  <c r="E111" i="3"/>
  <c r="I111" i="3" s="1"/>
  <c r="E110" i="3"/>
  <c r="I110" i="3" s="1"/>
  <c r="E108" i="3"/>
  <c r="I108" i="3" s="1"/>
  <c r="E106" i="3"/>
  <c r="I106" i="3" s="1"/>
  <c r="E102" i="3"/>
  <c r="I102" i="3" s="1"/>
  <c r="E101" i="3"/>
  <c r="I101" i="3" s="1"/>
  <c r="E98" i="3"/>
  <c r="I98" i="3" s="1"/>
  <c r="E95" i="3"/>
  <c r="I95" i="3" s="1"/>
  <c r="E94" i="3"/>
  <c r="I94" i="3" s="1"/>
  <c r="E92" i="3"/>
  <c r="I92" i="3" s="1"/>
  <c r="E89" i="3"/>
  <c r="I89" i="3" s="1"/>
  <c r="E86" i="3"/>
  <c r="I86" i="3" s="1"/>
  <c r="E85" i="3"/>
  <c r="I85" i="3" s="1"/>
  <c r="E81" i="3"/>
  <c r="I81" i="3" s="1"/>
  <c r="E80" i="3"/>
  <c r="I80" i="3" s="1"/>
  <c r="E76" i="3"/>
  <c r="I76" i="3" s="1"/>
  <c r="E72" i="3"/>
  <c r="I72" i="3" s="1"/>
  <c r="E71" i="3"/>
  <c r="I71" i="3" s="1"/>
  <c r="E70" i="3"/>
  <c r="I70" i="3" s="1"/>
  <c r="E68" i="3"/>
  <c r="I68" i="3" s="1"/>
  <c r="E63" i="3"/>
  <c r="I63" i="3" s="1"/>
  <c r="E61" i="3"/>
  <c r="I61" i="3" s="1"/>
  <c r="E59" i="3"/>
  <c r="I59" i="3" s="1"/>
  <c r="E55" i="3"/>
  <c r="I55" i="3" s="1"/>
  <c r="E53" i="3"/>
  <c r="I53" i="3" s="1"/>
  <c r="E51" i="3"/>
  <c r="I51" i="3" s="1"/>
  <c r="E46" i="3"/>
  <c r="I46" i="3" s="1"/>
  <c r="E45" i="3"/>
  <c r="I45" i="3" s="1"/>
  <c r="E43" i="3"/>
  <c r="I43" i="3" s="1"/>
  <c r="E42" i="3"/>
  <c r="I42" i="3" s="1"/>
  <c r="E41" i="3"/>
  <c r="I41" i="3" s="1"/>
  <c r="E40" i="3"/>
  <c r="I40" i="3" s="1"/>
  <c r="E37" i="3"/>
  <c r="I37" i="3" s="1"/>
  <c r="E34" i="3"/>
  <c r="I34" i="3" s="1"/>
  <c r="E27" i="3"/>
  <c r="I27" i="3" s="1"/>
  <c r="E20" i="3"/>
  <c r="I20" i="3" s="1"/>
  <c r="E17" i="3"/>
  <c r="I17" i="3" s="1"/>
  <c r="AA14" i="3"/>
  <c r="Z14" i="3"/>
  <c r="AB14" i="3"/>
  <c r="Y14" i="3"/>
  <c r="X14" i="3"/>
  <c r="L17" i="3" l="1"/>
  <c r="L13" i="3"/>
  <c r="L20" i="3"/>
  <c r="L22" i="3"/>
  <c r="L11" i="3"/>
  <c r="L12" i="3"/>
  <c r="L19" i="3"/>
  <c r="L14" i="3"/>
  <c r="L15" i="3"/>
  <c r="L21" i="3"/>
  <c r="L18" i="3"/>
  <c r="L10" i="3"/>
  <c r="L16" i="3"/>
  <c r="L9" i="3"/>
  <c r="L4" i="3"/>
  <c r="L5" i="3" s="1"/>
  <c r="Z9" i="3"/>
  <c r="AB13" i="3" s="1"/>
  <c r="V9" i="3"/>
  <c r="X13" i="3" s="1"/>
  <c r="Y9" i="3"/>
  <c r="AA13" i="3" s="1"/>
  <c r="X9" i="3"/>
  <c r="Z13" i="3" s="1"/>
  <c r="W9" i="3"/>
  <c r="Y13" i="3" s="1"/>
  <c r="AB11" i="3" l="1"/>
  <c r="AB12" i="3"/>
  <c r="Y11" i="3"/>
  <c r="Y12" i="3"/>
  <c r="Z11" i="3"/>
  <c r="Z12" i="3"/>
  <c r="AA11" i="3"/>
  <c r="AA12" i="3"/>
  <c r="X11" i="3"/>
  <c r="X12" i="3"/>
  <c r="AA23" i="3"/>
  <c r="Y24" i="3"/>
  <c r="X23" i="3"/>
  <c r="X22" i="3"/>
  <c r="AA21" i="3"/>
  <c r="X20" i="3"/>
  <c r="AB23" i="3"/>
  <c r="Z24" i="3"/>
  <c r="AA24" i="3"/>
  <c r="AB24" i="3"/>
  <c r="AA22" i="3"/>
  <c r="AB22" i="3"/>
  <c r="Z22" i="3"/>
  <c r="Y21" i="3"/>
  <c r="Z20" i="3"/>
  <c r="X24" i="3"/>
  <c r="X21" i="3"/>
  <c r="Y23" i="3"/>
  <c r="AA20" i="3"/>
  <c r="AB21" i="3"/>
  <c r="AB20" i="3"/>
  <c r="Z21" i="3"/>
  <c r="Z23" i="3"/>
  <c r="Y22" i="3"/>
  <c r="Y20" i="3"/>
</calcChain>
</file>

<file path=xl/sharedStrings.xml><?xml version="1.0" encoding="utf-8"?>
<sst xmlns="http://schemas.openxmlformats.org/spreadsheetml/2006/main" count="620" uniqueCount="354">
  <si>
    <t>Document Control</t>
  </si>
  <si>
    <t>Document History</t>
  </si>
  <si>
    <t>Version</t>
  </si>
  <si>
    <t>Summary of changes</t>
  </si>
  <si>
    <t>Document status</t>
  </si>
  <si>
    <t xml:space="preserve">Date </t>
  </si>
  <si>
    <t>Initial document created and issued for review</t>
  </si>
  <si>
    <t>Draft</t>
  </si>
  <si>
    <t>Document Finalised &amp; Published</t>
  </si>
  <si>
    <t>Final</t>
  </si>
  <si>
    <t>Version containing BIA as section 7 - moved to "Long Term vision"</t>
  </si>
  <si>
    <t>BIA removed</t>
  </si>
  <si>
    <t xml:space="preserve">Added Production/Non Production/Digital question </t>
  </si>
  <si>
    <t>Finalised, awaiting weighting assignment</t>
  </si>
  <si>
    <t>Formulae error corrected in cell J5 Hidden tab. Maximum score was 100, now updated to 150 as a result over 100 returned "FALSE" rather than "1".</t>
  </si>
  <si>
    <t>- Guidance Notes added
- Formulae error corrected in cell J4 - reference for System Acquisition range was incorrect - was SUM(G14:G117) rather than SUM(G117:G131). Formulae simplified to total entire range G7:G179 rather than each domain separately. Tested OK. 
-  Also adjusted total question count from 160 to 159 in J5 due to removal of duplicate question 141 (dup of question 134).
- Added explanation of calculations for clarity under summary scoring in Hidden tab (cells I23:J38)
- Correction on v1.4 now reversed as formula error in cell J4 was the root cause. Percentage score now calculating correctly.
- Reworked "Percentage complete" calculation on Part 2 as incorrect due to changed question count. Now states "questions remaining" - more helpful to user, and simpler formula as refers to total question count rather than 1/160 =0.625 as previously, hence simpler to understand/update for future changes.</t>
  </si>
  <si>
    <r>
      <t xml:space="preserve">- Updated formulae for cells J8:J21 on "Hidden" tab relating to Domain totals.
Previously, where a section was marked "N/A" by a supplier, the total for the Domain would be zero. In this situation, the formulae in J8:J21 attempted to divide this zero by the number of cells &lt;&gt; "Not Applicable", generating the #DIV/0! Error. 
Formula edited to add the IFERROR function, so if the divide by zero error occurs, replace with 0. Example below:
Previous: =SUM(G171:G179)/(COUNTIF(F171:F179,"&lt;&gt;Not Applicable"))
Updated: </t>
    </r>
    <r>
      <rPr>
        <sz val="10"/>
        <color rgb="FFFF0000"/>
        <rFont val="Calibri"/>
        <family val="2"/>
      </rPr>
      <t>=IFERROR(</t>
    </r>
    <r>
      <rPr>
        <sz val="10"/>
        <color theme="1"/>
        <rFont val="Calibri"/>
        <family val="2"/>
      </rPr>
      <t>SUM(G171:G179)/(COUNTIF(F171:F179,"&lt;&gt;Not Applicable"))</t>
    </r>
    <r>
      <rPr>
        <sz val="10"/>
        <color rgb="FFFF0000"/>
        <rFont val="Calibri"/>
        <family val="2"/>
      </rPr>
      <t>,0)</t>
    </r>
    <r>
      <rPr>
        <sz val="10"/>
        <color theme="1"/>
        <rFont val="Calibri"/>
        <family val="2"/>
      </rPr>
      <t xml:space="preserve">
Zero is the lowest possible score so this is the most prudent action.
- Change made to J4 on "Hidden" tab (Overall Supplier Control Effectiveness). If Independent Assurance is reported AND evidenced, Part 2 is not required hence score will be zero unless supplier has also completed Part 2. Guidance: "Overwrite as 100% unless there are issues identified, in which case assess an appropriate score depending on the volume and criticality of the exceptions."
- TISAX participant ID now included to enable sharing of evidence via the portal
- Added "Key control?" and "Impact Reducing?" columns to Hidden tab, to identify controls of most concern. The weighting columns have been hidden as the calculation is simplistic, impacts the original score, and does not deliver the required outcome. A focus on the "Key controls" is the preferred option to ensure the areas of concern are addressed.
- The "Impact Reducing?" column indicates those controls that reduce Impact, rather than Likelihood - these are associated with recovery controls such as Incident Management, and Business Continuity.
- Q147 updated to ask for date of last BCM/DR test
- Part 1 edited to remove duplications from Triage except where essential to identify supplier and whether SOC2/ISO27001/TISAX L3 are held</t>
    </r>
  </si>
  <si>
    <t>Reviewers &amp; Contributors</t>
  </si>
  <si>
    <t>The table below lists the Author (Document Creator) and Reviewer.</t>
  </si>
  <si>
    <t>Name</t>
  </si>
  <si>
    <t>Role</t>
  </si>
  <si>
    <t>Author/Reviewer</t>
  </si>
  <si>
    <t>Rich Sainsbury</t>
  </si>
  <si>
    <t>SCSA Senior Analyst</t>
  </si>
  <si>
    <t>Reviewer</t>
  </si>
  <si>
    <t>Robin Varghese</t>
  </si>
  <si>
    <t>Approval</t>
  </si>
  <si>
    <t>Signed off by</t>
  </si>
  <si>
    <t>Andrew Moore</t>
  </si>
  <si>
    <t>SCSA Manager</t>
  </si>
  <si>
    <t>Approver</t>
  </si>
  <si>
    <t>Review Cycle</t>
  </si>
  <si>
    <t>The Supply Chain Security Assurance (SCSA) Assessment tools will continue to evolve and develop as required by the business utilising technology to create efficiencies as appropriate.  This document will be reviewed on an annual basis by the SCSA team.</t>
  </si>
  <si>
    <t>Next review due</t>
  </si>
  <si>
    <t>Supply Chain Security Assurance (SCSA)-Questionnaire</t>
  </si>
  <si>
    <t xml:space="preserve"> </t>
  </si>
  <si>
    <t>No</t>
  </si>
  <si>
    <t>Yes</t>
  </si>
  <si>
    <t>Ref.</t>
  </si>
  <si>
    <t>Question</t>
  </si>
  <si>
    <t>Information Security Policies</t>
  </si>
  <si>
    <t>Does the organisation have an Information Security Policy (ISP) in place?</t>
  </si>
  <si>
    <t>Partially Implemented</t>
  </si>
  <si>
    <t>Until NNAMU Gmbh will have its own ISP in place, it is inheriting it from its mother company TWS Partners AG.</t>
  </si>
  <si>
    <t>Does the ISP include security objectives at all business functions and levels?</t>
  </si>
  <si>
    <t>Yes, see above</t>
  </si>
  <si>
    <t>Has the ISP been established and approved by management?</t>
  </si>
  <si>
    <t>Has the ISP been published and communicated to all employees and relevant external parties within the supporting supply chain?</t>
  </si>
  <si>
    <t>Is the ISP reviewed at planned intervals (no longer than one year), or if significant changes occur, to evaluate continuing suitability, adequacy and effectiveness?</t>
  </si>
  <si>
    <t>Has a method been established to enable individuals to confirm their acceptance of and compliance with the ISP?</t>
  </si>
  <si>
    <t>Is the ISP supported by a suite of risk specific information/cyber security policies, for example an Access Control Policy, Acceptable Use Policy, Malware Policy etc?</t>
  </si>
  <si>
    <t>Organisation of Information Security</t>
  </si>
  <si>
    <t xml:space="preserve">Does the organisation have a named and defined role that is responsible for Information Security? </t>
  </si>
  <si>
    <t>Yes, see above, using TWS Partners ressources at the moment.</t>
  </si>
  <si>
    <t xml:space="preserve">Do you manage Information Security and Information Technology separately? </t>
  </si>
  <si>
    <t>Largely implemented</t>
  </si>
  <si>
    <t>We have specific guidelines related to information security.</t>
  </si>
  <si>
    <t>Are contacts maintained with relevant authorities to help anticipate forthcoming changes in relevant laws or regulations?</t>
  </si>
  <si>
    <t>Not Applicable</t>
  </si>
  <si>
    <t>Not relevant, as we don’t have any specific regulation we need to adhere to.</t>
  </si>
  <si>
    <t>Is Information Security addressed in project management regardless of the type of the project?</t>
  </si>
  <si>
    <t>Fully implemented</t>
  </si>
  <si>
    <t>Yes, a certain set of guidelines is always to be followed.</t>
  </si>
  <si>
    <t>Is a high-level working group (or equivalent) assigned responsibility for managing Information Security projects?</t>
  </si>
  <si>
    <t>We don’t have I.S. projects, we just have a person making sure I.S. guidelines are followed and the guidelines themselves are up to date.</t>
  </si>
  <si>
    <t>Does your ISP, or a separate specific Policy, address the risks associated with remote access?</t>
  </si>
  <si>
    <t>Yes, remote access is only possible with VPN.</t>
  </si>
  <si>
    <t>Does your ISP cover all devices with access to business networks, systems, or data (e.g. laptops, mobile devices) and all JLR data, regardless of IT media?</t>
  </si>
  <si>
    <t>Yes.</t>
  </si>
  <si>
    <t>Human Resources</t>
  </si>
  <si>
    <t xml:space="preserve">Is there an employee pre-screening policy that includes criminal, credit, professional / academic references and drug screening as allowed by local law? </t>
  </si>
  <si>
    <t>Upon request, nnamu employees provide a German "Führungszeugnis" (criminal record).</t>
  </si>
  <si>
    <t>Are organizational and individual responsibilities for Information Security clearly defined in the terms and conditions of employment contracts and within the job specifications?</t>
  </si>
  <si>
    <t>Yes, there’s a section in each employees contract addressing I.S. and each roles specific responsibilities.</t>
  </si>
  <si>
    <t>Are non-disclosure agreements current and in place with all staff who have access to organisational assets hosting customer information?</t>
  </si>
  <si>
    <t>Is there training in place to ensure that employees and contractors receive appropriate Information Security awareness training and updates to organisational policies and procedures?</t>
  </si>
  <si>
    <t>There is, but not for each employee. Only for employees who are doing work that is relevant to I.S.</t>
  </si>
  <si>
    <t>Is security awareness training incorporated as part of the induction process (within a maximum of four weeks after joining the organisation)?</t>
  </si>
  <si>
    <t>Depending on role.</t>
  </si>
  <si>
    <t>Are all staff required to complete an annual session of security awareness training?</t>
  </si>
  <si>
    <t>Does the security awareness training include a testing component (e.g., to test employees' handling of emails, links, attachments etc.)?</t>
  </si>
  <si>
    <t>Not Implemented</t>
  </si>
  <si>
    <t>No, we just do an awareness training.</t>
  </si>
  <si>
    <t>Is security awareness training commensurate with differing levels of responsibilities and access?</t>
  </si>
  <si>
    <t>As noted previously, it is role dependent.</t>
  </si>
  <si>
    <t>Do employees responsible for Information Security undergo additional specific training (e.g., Information Security Operations)?</t>
  </si>
  <si>
    <t>Yes, but not yet in a formal way.</t>
  </si>
  <si>
    <t xml:space="preserve"> Is a disciplinary process, that would be invoked as a consequence of non-compliance referenced, in all relevant  policies and related training?</t>
  </si>
  <si>
    <t>Is there a policy/documented process to ensure that HR notify security/access administration of an employee's/contractor's termination or change of status for access rights removal?</t>
  </si>
  <si>
    <t>Yes, there is a process in place where change or access right termination is invoked by HR.</t>
  </si>
  <si>
    <t>Is there a policy / documented process to ensure that all employees are aware of their continuing responsibilities and duties after leaving the organisation?</t>
  </si>
  <si>
    <t>There is a policy or better said there is a section in employee contracts that deals with this topic.</t>
  </si>
  <si>
    <t>Management of Information Assets</t>
  </si>
  <si>
    <t xml:space="preserve">Do you maintain registers of JLR relevant information, device and software assets? </t>
  </si>
  <si>
    <t>Is ownership (an authorized and responsible manager) assigned to each information asset?</t>
  </si>
  <si>
    <t xml:space="preserve">Is there an individual who is responsible for approving access to JLR data? </t>
  </si>
  <si>
    <t>Is the Information Security policy supported by detailed acceptable use policies (AUPs) that define the way in which individuals are expected to use information and systems within the organisation?</t>
  </si>
  <si>
    <t>Is there a policy/ documented process to ensure that assets (laptops, mobile phones, ID cards, user accounts, hardware, software, documents) are destroyed, returned or revoked upon employee termination?</t>
  </si>
  <si>
    <t>Yes, there is a multi-step process that is followed upon employee termination.</t>
  </si>
  <si>
    <t>Is there a documented procedure that ensures that all information assets are correctly classified and aligned with the JLR classification scheme?</t>
  </si>
  <si>
    <t>Not possible to answer as we are not aware of the "JLR classification scheme". Answer will be updated once clarification provided</t>
  </si>
  <si>
    <t xml:space="preserve">Does the handling of information assets in accordance with the information classification include how assets must be; stored, transmitted, destroyed, encrypted? </t>
  </si>
  <si>
    <t>Yes, there are guidelines for every type of information – documents can be stored only on in-house systems, source code is hosted on in-house servers etc.</t>
  </si>
  <si>
    <t xml:space="preserve">Do you have a way of separating/ labelling JLR data from other information that you store? </t>
  </si>
  <si>
    <t>We have different techniques to make sure all JLR data is marked as such.</t>
  </si>
  <si>
    <t xml:space="preserve">Do you have any Data Loss Prevention (DLP) controls in place? </t>
  </si>
  <si>
    <t>Yes, no information is allowed to be shared (ie no upload to external systems policy).</t>
  </si>
  <si>
    <t>Is there a documented procedure for the secure disposal, re-purpose and / or destruction of physical media (e.g., paper documents, CDs, DVDs, tapes, disk drives, etc.) in accordance with JLR requirements and in accordance with JLRs information classification scheme? (e.g. NIST SP-800-88)</t>
  </si>
  <si>
    <t>As a SaaS we will deal only with data.</t>
  </si>
  <si>
    <t>Do you protect JLR data that is transferred or transmitted?</t>
  </si>
  <si>
    <t>Yes, all communication between systems is over encrypted channels.</t>
  </si>
  <si>
    <t>Access Control</t>
  </si>
  <si>
    <t>Do you have an implemented access control policy which covers the granting and revoking of access to systems?</t>
  </si>
  <si>
    <t>Is there a documented and implemented process to ensure access rights are reviewed on a scheduled basis and removed upon termination of employment?</t>
  </si>
  <si>
    <t>Yes, as mentioned previously, upon termination there is a multi step process that is followed.</t>
  </si>
  <si>
    <t>Are inactive user accounts, monitored, identified, removed or disabled (either through manual or automated processes)?</t>
  </si>
  <si>
    <t>There’s an automated process.</t>
  </si>
  <si>
    <t>Do you review access rights on a scheduled basis using a formal process?</t>
  </si>
  <si>
    <t>We do access rights pruning on a monthly basis.</t>
  </si>
  <si>
    <t>Are procedures established and maintained to prohibit the use of generic administration user accounts, according to the systems' configuration capabilities?</t>
  </si>
  <si>
    <t>Minimal Implementation</t>
  </si>
  <si>
    <t>It is not allowed to share any user accounts between employees. The only exceptions are accounts for automated testing scripts that are running only on randomly generated (non customer specific) data.</t>
  </si>
  <si>
    <t>Is an authorisation process maintained, including a record of all privileges allocated?</t>
  </si>
  <si>
    <t>Yes, we keep a record of all allocated privileges.</t>
  </si>
  <si>
    <t>Is there a documented procedure in place concerning the use of networks and network services relating to connections to sensitive and/or critical business applications?</t>
  </si>
  <si>
    <t>in MVP we won’t access any sensitive/critical business apps.</t>
  </si>
  <si>
    <t>Do you store and monitor audit logs of access to systems containing JLR data?</t>
  </si>
  <si>
    <t>Yes, we store access logs.</t>
  </si>
  <si>
    <t>Do you operate a Joiner Mover Leaver (JML) Process which ensures that employees or subcontractors are only given access to systems based on the requirements of their role and all are issued unique login credentials?</t>
  </si>
  <si>
    <t>We do grant access only based on role requirements. Each user has a unique login.</t>
  </si>
  <si>
    <t>Does your JML process assign permissions to Joiners based on their role (rather than copying existing user permissions)?</t>
  </si>
  <si>
    <t>Yes, we create each user from scratch.</t>
  </si>
  <si>
    <t>Does your JML process accommodate for employees moving into different roles within the organisation (Movers)?</t>
  </si>
  <si>
    <t>Yes, the permissions are changed in case of role changes to reflect the new role.</t>
  </si>
  <si>
    <t>Does your JML process ensure any admin access must be gained by using an accountable escalation mechanism, e.g., Sudo or Windows Access control?</t>
  </si>
  <si>
    <t>Yes, each user accessing a system gets a specific user account and has to use accountable escalation mechanisms to gain admin access.</t>
  </si>
  <si>
    <t>Does your JML process ensure admin accounts are forced to use Multi-Factor Authentication (e.g., SMS, Authy, Authenticator etc.)?</t>
  </si>
  <si>
    <t>Do you have a documented and implemented Password Policy that utilises recognized practices as prescribed by NIST SP800-63B?</t>
  </si>
  <si>
    <t>We only have policies dealing with password content – regarding password length, password composition etc.</t>
  </si>
  <si>
    <t>Is password reset authority restricted to authorized persons and/or an automated password reset tool?</t>
  </si>
  <si>
    <t>Yes, there is a procedure to go through a password reset.</t>
  </si>
  <si>
    <t>Are user IDs and passwords communicated/distributed separately?</t>
  </si>
  <si>
    <t>Yes, the username and password are never distributed across the same communication medium.</t>
  </si>
  <si>
    <t>Is the use of privilege utility programs restricted and monitored?</t>
  </si>
  <si>
    <t>Cryptography</t>
  </si>
  <si>
    <t>Does the organisation have an implemented policy on the use of cryptographic controls for the protection of customer information?</t>
  </si>
  <si>
    <t>Sensitive information is encrypted, data backups are stored encrypted and all communication is over encrypted channels.</t>
  </si>
  <si>
    <t xml:space="preserve"> Are risk assessments undertaken to determine the type, strength and quality of encryption algorithm required to protect customer information?</t>
  </si>
  <si>
    <t>We use industry standard algorithms.</t>
  </si>
  <si>
    <t>Is customer information copied to removeable media encrypted?</t>
  </si>
  <si>
    <t>Yes, but we are not storing any information on removable media.</t>
  </si>
  <si>
    <t>Is customer information encrypted when being transmitted across networks?</t>
  </si>
  <si>
    <t>Does the organisation have an implemented policy that addresses the generation, storing, archival, retrieval, distribution, retirement and destruction of cryptographic keys?</t>
  </si>
  <si>
    <t>Does the implementation of the encryption policy consider the impact of using encrypted information on controls that rely on content inspection - e.g. malware detection?</t>
  </si>
  <si>
    <t>Does the implementation of the encryption policy account for regulations and national restrictions that might apply to the use of cryptographic techniques and the issues of cross-border flow of customer encrypted information?</t>
  </si>
  <si>
    <t xml:space="preserve">Physical and Environmental Security </t>
  </si>
  <si>
    <r>
      <t xml:space="preserve">Is there a physical security program approved by management, communicated to all employees and relevant parties, and has an </t>
    </r>
    <r>
      <rPr>
        <i/>
        <sz val="10"/>
        <rFont val="Calibri"/>
        <family val="2"/>
        <scheme val="minor"/>
      </rPr>
      <t>owner</t>
    </r>
    <r>
      <rPr>
        <sz val="10"/>
        <rFont val="Calibri"/>
        <family val="2"/>
        <scheme val="minor"/>
      </rPr>
      <t xml:space="preserve"> assigned to maintain and review?</t>
    </r>
  </si>
  <si>
    <t>We will use AWS – so I don’t think any of this applies.</t>
  </si>
  <si>
    <t xml:space="preserve"> Are physical security perimeters defined and used to protect areas at all locations that contain JLR information?</t>
  </si>
  <si>
    <t>Is access to areas where JLR  information is processed or stored logged in a physical book or an electronic audit trail maintained?</t>
  </si>
  <si>
    <t>Is access to areas where JLR information is processed or stored controlled by appropriate access controls - i.e. key card, token, fob, biometric reader, etc.?</t>
  </si>
  <si>
    <t>Are entry and exit doors alarmed (forced entry, propped open) and/or monitored by security guards for areas where JLR information is stored or processed?</t>
  </si>
  <si>
    <t>Are all staff, contractors and visitors required to immediately report a lost or stolen access card that would provide access to area where JLR information is processed or stored?</t>
  </si>
  <si>
    <t>Are visitors required to produce identification, such as a driving License or Passport etc., before being granted access to areas where JLR information is stored or processed?</t>
  </si>
  <si>
    <t>Are visitors to areas where JLR information is processed or stored escorted at all times?</t>
  </si>
  <si>
    <t>Do you or your subcontractors operate procedures for logging and tracking hardware containing JLR data being taken off-site?</t>
  </si>
  <si>
    <t>We don’t store customer specific data locally, only on AWS.</t>
  </si>
  <si>
    <t>Do you operate and technically enforce a 'Clear Screen' policy requiring that computers and terminals should be left logged off or protected with a screen and keyboard locking mechanisms controlled by a password, token or similar user authentication mechanism when unattended?</t>
  </si>
  <si>
    <t>We have a set of rules that all employees have to sign that includes these policies.</t>
  </si>
  <si>
    <t>Do you operate a clear desk policy that requires sensitive business information, on paper or electronic storage media, is locked away (ideally in a safe or cabinet or other forms of security furniture) when not required, especially when the area is vacated?</t>
  </si>
  <si>
    <t>Same as above.</t>
  </si>
  <si>
    <t>Operations Security</t>
  </si>
  <si>
    <t>Do you have a documented and implemented hardening/standard build with security controls for servers, desktops, and VMs</t>
  </si>
  <si>
    <t xml:space="preserve">Does the hardening/standard build ensure vendor default password(s) are changed and un-needed ports, protocols and services etc. are disabled? </t>
  </si>
  <si>
    <t>Yes, it is not possible to keep vendor default passwords.</t>
  </si>
  <si>
    <t xml:space="preserve">Is there a change management procedure in place to cover changes to the organisation, business processes, network, hardware and information systems? </t>
  </si>
  <si>
    <t>Are all changes subject to a review and approval process?</t>
  </si>
  <si>
    <t>All changes to any configuration or standard has to be reviewed and approved.</t>
  </si>
  <si>
    <t>Do you operate a vulnerability management process that ensures the timely patching of your computers and applications?</t>
  </si>
  <si>
    <t>Yes, all systems are kept up to date.</t>
  </si>
  <si>
    <t>Have you deployed anti-malware/anti-virus software that is updated regularly on all endpoints and servers?</t>
  </si>
  <si>
    <t>Fully implemented as we use AWS as cloud infrastructure.</t>
  </si>
  <si>
    <t>Are files received via email/download scanned when they enter the network?</t>
  </si>
  <si>
    <t>Are IT systems that host JLR information regularly backed up?</t>
  </si>
  <si>
    <t>Yes. We have a rolling backup that ensures minimal potential data loss.</t>
  </si>
  <si>
    <t>Do back-up controls ensure that the availability of JLR information can be sustained in line with JLR's business requirements.</t>
  </si>
  <si>
    <t>As soon as we know what those requirements are.</t>
  </si>
  <si>
    <t>In the case of JLR relevant systems and services, do backup arrangements cover all systems information, applications and data necessary to recover the complete system?</t>
  </si>
  <si>
    <t>Are system administrators and operators' activities monitored and logged in a non-modifiable way?</t>
  </si>
  <si>
    <t>Are resources monitored and projections made with customer involvement of future capacity requirements?</t>
  </si>
  <si>
    <t>I think here we need to invoke the SaaS clause.</t>
  </si>
  <si>
    <t xml:space="preserve">Do you have hardening standards in place to ensure vendor default password are changed and un-needed ports, protocols and services etc. are disabled? </t>
  </si>
  <si>
    <t>Are your hardening standards enforced across all JLR relevant systems?</t>
  </si>
  <si>
    <t>Are there controls that prevent or detect the use of known or suspected malicious websites (for example, website blacklisting)?</t>
  </si>
  <si>
    <t>Not for now.</t>
  </si>
  <si>
    <t>Are event logs of user activities, exceptions, faults and information security events produced, kept and regularly reviewed for JLR relevant systems?</t>
  </si>
  <si>
    <t>We keep the information, but we do not actively review it, only upon request or for investigative purposes.</t>
  </si>
  <si>
    <t>Is access to logging information restricted to authorised personnel only?</t>
  </si>
  <si>
    <t>Communication (Network) Security</t>
  </si>
  <si>
    <t xml:space="preserve"> Has the organisation established and documented responsibilities for the management of IT networking?</t>
  </si>
  <si>
    <t>Yes. We have a system operations division.</t>
  </si>
  <si>
    <t xml:space="preserve"> Are controls in place to safeguard the confidentiality and integrity of the organisation's data that passes over public and wireless networks - e.g. encryption?</t>
  </si>
  <si>
    <t>Have security requirements been identified and included in all outsourced network service agreements?</t>
  </si>
  <si>
    <t>Not applicable as the product is run as a SaaS web application hosted in a cloud infrastructure from AWS.</t>
  </si>
  <si>
    <t>Do your internal network designs conform to the ‘defence in depth’ principle whereby the use of multiple security controls or security layers are deployed to mitigate the risk of one component of the network’s defence being compromised or circumvented?</t>
  </si>
  <si>
    <t>The solution is hosted on AWS, so not sure how/why this would apply.</t>
  </si>
  <si>
    <t>Are devices and computer systems of low trust level such as remote access servers and wireless network access points located in dedicated network security zones?</t>
  </si>
  <si>
    <t>Are mission critical and highly sensitive assets located in dedicated security zones?</t>
  </si>
  <si>
    <t>Are network and security management systems located in dedicated security zones?</t>
  </si>
  <si>
    <t>Are systems in development and/or testing located in different zones than production systems?</t>
  </si>
  <si>
    <t>AWS setup that we use ensures that.</t>
  </si>
  <si>
    <t>Where applicable, are there procedures in place for the protection of electronic JLR information transmitted in the form of an email attachment?</t>
  </si>
  <si>
    <t>Are your staff, including permanent, contract and temporary resource, advised not to discuss JLR business/information not already in the public domain in their personal social/social media interactions?</t>
  </si>
  <si>
    <t>Any and all client information is confident and is not to be communicated externally.</t>
  </si>
  <si>
    <t xml:space="preserve">System Acquisition, Development, &amp; Maintenance </t>
  </si>
  <si>
    <t>Are formal principles for the engineering of secure systems established, documented, maintained and applied?</t>
  </si>
  <si>
    <t>We follow and apply common standards and principles regarding security in the system.</t>
  </si>
  <si>
    <t>Are new IT systems subject to a rigorous information security assurance process prior to 'go live'?</t>
  </si>
  <si>
    <t>We plan on performing a pen-test before the MVP go-live.</t>
  </si>
  <si>
    <t>Are all IT systems that handle JLR information subject to a periodic (at least annual) 're-assurance' process?</t>
  </si>
  <si>
    <t>Some clarification required on the exact JLR requirement.</t>
  </si>
  <si>
    <t>Does the selection of controls consider the sensitivity of data to be processed, stored and transmitted by the system under development?</t>
  </si>
  <si>
    <t>Are applications developed through a formal System Development Life Cycle (SDLC) procedure?</t>
  </si>
  <si>
    <t>NOTE: we marked these answers as usually not relevant as we are a SaaS company, but since we do use a scrum-like process, I felt sure to mark partially implemented here.</t>
  </si>
  <si>
    <t>Do you supervise and monitor the activity of outsourced system development?</t>
  </si>
  <si>
    <t>We currently don’t have any outsourced system development.</t>
  </si>
  <si>
    <t>Do you provide details of an approved threat model that relates to the information that will be handled, processed, stored and transmitted by the system to the external developer?</t>
  </si>
  <si>
    <t xml:space="preserve">Do your development procedures meet or exceed recognised good practices, e.g. OWASP? </t>
  </si>
  <si>
    <t>In different parts of the development process we use various procedures considered best practices – from using SCRUM for development to CI/CD pipelines, automated testing, 4 eyes review principle etc.</t>
  </si>
  <si>
    <t>Is the use of embedded credentials within applications prohibited?</t>
  </si>
  <si>
    <t>Using embedded credentials is not allowed.</t>
  </si>
  <si>
    <t>Is the use of 'live' data containing personally identifiable information for testing purposes prohibited?</t>
  </si>
  <si>
    <t>We test only with random data.</t>
  </si>
  <si>
    <t>Does the organisation develop control data sets for the specific use of system testing?</t>
  </si>
  <si>
    <t>Are your development, testing and operational environments separated?</t>
  </si>
  <si>
    <t>On the minimum we run a development/test/staging and production environment.</t>
  </si>
  <si>
    <t xml:space="preserve"> Are automated tools, such as code analysis tools or vulnerability scanners employed?</t>
  </si>
  <si>
    <t>We use various tools for code analysis.</t>
  </si>
  <si>
    <t>Do you conduct application-level security penetration testing prior to deployment?</t>
  </si>
  <si>
    <t>We plan on doing that.</t>
  </si>
  <si>
    <t xml:space="preserve"> Are re-tests undertaken to confirm the closure of previously identified vulnerabilities?</t>
  </si>
  <si>
    <t>Regression testing will be included.</t>
  </si>
  <si>
    <t>Supplier Relationships</t>
  </si>
  <si>
    <t>Is an accurate record maintained of all suppliers that process or otherwise handle JLR data?</t>
  </si>
  <si>
    <t>Since we are a SaaS this section is not applicable. We build our own solution and don’t have any suppliers down the chain and no one gets data handed down.</t>
  </si>
  <si>
    <t>In all instances where a supplier will handle JLR information, are the information security requirements for mitigating associated risks agreed with the supplier and documented?</t>
  </si>
  <si>
    <t>All  suppliers of outsourced IT systems or services subject to a rigorous information security assurance and periodic 're-assurance' process?</t>
  </si>
  <si>
    <t xml:space="preserve">Do JLR relevant supplier agreements include monitoring and/or other methods for validating that the products and services being provided remain appropriately secure? </t>
  </si>
  <si>
    <t>Do supplier agreements require the propagation of the organisation's information security requirements throughout the supplier's subcontractors and suppliers?</t>
  </si>
  <si>
    <t xml:space="preserve"> Do you ensure that your suppliers are unable to extract or remove copies of JLR data unless explicitly required in the service being provided?</t>
  </si>
  <si>
    <t>If access to JLR data is required by your suppliers, do you make JLR aware prior to access being granted and obtain consent?</t>
  </si>
  <si>
    <t>When you end your relationship with a supplier, do you make sure they securely destroy or return  JLR information?</t>
  </si>
  <si>
    <t>Are service reports produced by suppliers and regular account meetings held?</t>
  </si>
  <si>
    <t>Are your suppliers contractually obliged to provide information about JLR relevant information security incidents in a timely manner?</t>
  </si>
  <si>
    <t>Information/Cyber Security Incident Management</t>
  </si>
  <si>
    <t>Do you operate documented processes for the monitoring, detecting, analysing and reporting of information/cyber security events?</t>
  </si>
  <si>
    <t>Yes, there is a process in place for each event.</t>
  </si>
  <si>
    <t>Are all employees, contractors, temporary resources and suppliers aware of what is described as an information/cyber security event?</t>
  </si>
  <si>
    <t>Are all employees, contractors, temporary resources and suppliers aware of their responsibility to report information/cyber security events as quickly as possible?</t>
  </si>
  <si>
    <t>Is the information/cyber security event reporting mechanism easily accessible and readily available?</t>
  </si>
  <si>
    <t>Yes. It is reported as an issue with critical or emergency priority and handled immediately. The workflow assigns it to the appropriate person automatically.</t>
  </si>
  <si>
    <t>Are information/cyber security events first assessed prior to being declared as incidents?</t>
  </si>
  <si>
    <t>Yes, they are assessed before escalating further.</t>
  </si>
  <si>
    <t>Are information/cyber security incidents classified and prioritized?</t>
  </si>
  <si>
    <t>Yes. The lowest priority they can get is critical.</t>
  </si>
  <si>
    <t>Do you have a documented Information/Cyber Security Incident Response Procedure?</t>
  </si>
  <si>
    <t>We have a guideline for the procedure.</t>
  </si>
  <si>
    <t xml:space="preserve"> Do the documented incident procedures require the collection of evidence as soon as possible after the occurrence?</t>
  </si>
  <si>
    <t xml:space="preserve"> Do the documented incident procedures require the conducting of information/cyber security forensic analysis?</t>
  </si>
  <si>
    <t>We don’t have a formal procedure in place, but this is sort of a normal part of it.</t>
  </si>
  <si>
    <t xml:space="preserve"> Do the documented incident procedures include escalation requirements and parameters? </t>
  </si>
  <si>
    <t xml:space="preserve"> Do the documented incident procedures require all response activities and actions are logged for later analysis?</t>
  </si>
  <si>
    <t>Yes, all activities and changes of state are marked in the issue tracking.</t>
  </si>
  <si>
    <t xml:space="preserve"> Do the documented incident procedures restrict the communication of information to only those with a 'need to know'?</t>
  </si>
  <si>
    <t>For this we also don’t have a formal procedure but is a common sense thing.</t>
  </si>
  <si>
    <t xml:space="preserve"> Do the documented incident procedures require post incident analysis is undertaken to identify the 'root cause' of the incident?</t>
  </si>
  <si>
    <t>Yes, apart from reacting we want to make sure it does not happen again.</t>
  </si>
  <si>
    <t xml:space="preserve">Are there documented processes that details who within JLR must be informed of a relevant incident, the circumstances and when they must be informed and by what method? </t>
  </si>
  <si>
    <t>JLR should provide a PoC to be contacted in such cases.</t>
  </si>
  <si>
    <t>Are there formal documented procedures for the identification, collection, acquisition and preservation of information that can serve as evidence in relation to an information/cyber security incident?</t>
  </si>
  <si>
    <t>We partially take care of this during the issue lifetime.</t>
  </si>
  <si>
    <t>Are formal documented procedures followed when dealing with evidence for the purposes of disciplinary and legal action?</t>
  </si>
  <si>
    <t xml:space="preserve"> Is knowledge gained from analysing and resolving security incidents used to reduce the likelihood or impact of future incidents?</t>
  </si>
  <si>
    <t>Yes, we have a feedback loop.</t>
  </si>
  <si>
    <t>Information Security Aspects of Business Continuity Management</t>
  </si>
  <si>
    <t xml:space="preserve"> Has a Business Impact Analysis (BIA) been conducted on all JLR relevant systems, applications and platforms?</t>
  </si>
  <si>
    <t>N/A, as this is an MVP of a SaaS product.</t>
  </si>
  <si>
    <t>Has the organisation identified JLR's requirements for the availability of its information?</t>
  </si>
  <si>
    <t xml:space="preserve"> Are information security continuity requirements captured within the organisation's business continuity and/or disaster recovery processes?</t>
  </si>
  <si>
    <t xml:space="preserve"> Has the organisation ensured that personnel with the necessary responsibility, authority and competence to manage a business continuity impacting incident are in place?</t>
  </si>
  <si>
    <t>We always have someone on-call to react in case of continuity problems.</t>
  </si>
  <si>
    <t>Does the organisation exercise and test its BCM/DR capability on a regular basis? Please provide dates of the most recent business and data centre tests, and the RTO (Recovery Time Objective) for the services supporting the JLR contract in the Further information column.</t>
  </si>
  <si>
    <t xml:space="preserve"> Are the organisation's information processing facilities implemented with sufficient redundancy to meet JLR's availability requirements?</t>
  </si>
  <si>
    <t>Provided we find out the JLR availability requirements. Answer might be updated once clarification provided.</t>
  </si>
  <si>
    <t xml:space="preserve"> Have redundant architectures been implemented where availability cannot otherwise be guaranteed?</t>
  </si>
  <si>
    <t xml:space="preserve"> Are redundant architectures tested regularly?</t>
  </si>
  <si>
    <t xml:space="preserve"> Compliance (Security Governance, Risk, and Compliance)</t>
  </si>
  <si>
    <t>Does the organisation have a privacy officer or other individual responsible for providing guidance to managers, users and service providers on their responsibilities and specific privacy related procedures?</t>
  </si>
  <si>
    <t>The Managing Director of a German GmbH (Private limited) is responsible for that by law (GDPR).</t>
  </si>
  <si>
    <t>Does the organisation undertake privacy impact assessments on new IT systems/services or when a significant change or upgrade to an IT system/service is planned?</t>
  </si>
  <si>
    <t xml:space="preserve"> Are the organisation's IT systems regularly reviewed for compliance with the organisation's information/cyber security policies?</t>
  </si>
  <si>
    <t xml:space="preserve"> Are penetration tests regularly undertaken?</t>
  </si>
  <si>
    <t>The plan is to have them run regularly.</t>
  </si>
  <si>
    <t>Are electronic vulnerability scans regularly undertaken?</t>
  </si>
  <si>
    <t xml:space="preserve"> Are effectiveness measures defined for all controls?</t>
  </si>
  <si>
    <t>We comply with GDPR and other German and EU laws on that but as part of our ISP (see Section 1) we will extend security controls after the MVP phase.</t>
  </si>
  <si>
    <t xml:space="preserve"> Is the organisation's approach to managing information security and its implementation independently reviewed at planned intervals or when significant changes occur?</t>
  </si>
  <si>
    <t xml:space="preserve"> Are the results of independent reviews recorded, reported to the management that initiated them and the records maintained?</t>
  </si>
  <si>
    <t>Are actions identified to correct non-compliance with policies recorded and acceptable remediation tracked?</t>
  </si>
  <si>
    <t>Supplier / Service Impact and Likelihood Scores</t>
  </si>
  <si>
    <t>If Independent Assurance is reported AND evidenced, Part 2 is not required. Overwrite as 100% unless there are issues identified, in which case assess an appropriate score depending on the volume and criticality of the exceptions. Domain scores should also be set to 100%.</t>
  </si>
  <si>
    <t>Overall Supplier Breach Impact Score</t>
  </si>
  <si>
    <t>Overall Supplier Control Effectiveness %</t>
  </si>
  <si>
    <t>Supplier Failure / Breach Likelihood Score</t>
  </si>
  <si>
    <t>Weight</t>
  </si>
  <si>
    <t>Actual</t>
  </si>
  <si>
    <t>Key control?</t>
  </si>
  <si>
    <t>Impact Reducing?</t>
  </si>
  <si>
    <t>Score</t>
  </si>
  <si>
    <t>Control Effectiveness Distribution</t>
  </si>
  <si>
    <t>Domain</t>
  </si>
  <si>
    <t>Effectiveness</t>
  </si>
  <si>
    <t xml:space="preserve">90%-100% </t>
  </si>
  <si>
    <t>80% - 89%</t>
  </si>
  <si>
    <t>50%-79%</t>
  </si>
  <si>
    <t>20%-49%</t>
  </si>
  <si>
    <t>0%-19%</t>
  </si>
  <si>
    <t>Impact</t>
  </si>
  <si>
    <t>Risk Distribution by Controls</t>
  </si>
  <si>
    <t>Likelihood</t>
  </si>
  <si>
    <t>Information Security Incident Management</t>
  </si>
  <si>
    <t>Information Security Aspects of BCM</t>
  </si>
  <si>
    <t xml:space="preserve"> Compliance</t>
  </si>
  <si>
    <t>Explanation of Scoring</t>
  </si>
  <si>
    <t>Each question scores as follows:</t>
  </si>
  <si>
    <t>Supplier Risk Status</t>
  </si>
  <si>
    <t>Please Select</t>
  </si>
  <si>
    <t>Y</t>
  </si>
  <si>
    <t>Explanation of J5 Overall Likelihood Scoring</t>
  </si>
  <si>
    <t>Score 19% or under</t>
  </si>
  <si>
    <t>Score 20% to 49%</t>
  </si>
  <si>
    <t xml:space="preserve">Score 50% to 79% </t>
  </si>
  <si>
    <t>Score 80% to 89%</t>
  </si>
  <si>
    <t>Score 90% to 100%</t>
  </si>
  <si>
    <t xml:space="preserve"> Compliance </t>
  </si>
  <si>
    <t>Control Status</t>
  </si>
  <si>
    <t>Weighting</t>
  </si>
  <si>
    <t>Critical</t>
  </si>
  <si>
    <t>Highly Important</t>
  </si>
  <si>
    <t>Important</t>
  </si>
  <si>
    <t>Not Very Important</t>
  </si>
  <si>
    <t>Nice-to-Have</t>
  </si>
  <si>
    <t>Yes/No</t>
  </si>
  <si>
    <t>Impacts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</si>
</sst>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4" x14ac:knownFonts="1">
    <font>
      <sz val="12"/>
      <color rgb="FF000000"/>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10"/>
      <color rgb="FF000000"/>
      <name val="Arial"/>
      <family val="2"/>
    </font>
    <font>
      <sz val="10"/>
      <color indexed="8"/>
      <name val="Arial"/>
      <family val="2"/>
    </font>
    <font>
      <sz val="10"/>
      <color rgb="FF000000"/>
      <name val="Calibri"/>
      <family val="2"/>
    </font>
    <font>
      <sz val="10"/>
      <name val="Calibri"/>
      <family val="2"/>
      <scheme val="minor"/>
    </font>
    <font>
      <sz val="10"/>
      <color rgb="FF000000"/>
      <name val="Calibri"/>
      <family val="2"/>
      <scheme val="minor"/>
    </font>
    <font>
      <i/>
      <sz val="10"/>
      <name val="Calibri"/>
      <family val="2"/>
      <scheme val="minor"/>
    </font>
    <font>
      <b/>
      <sz val="10"/>
      <color rgb="FF000000"/>
      <name val="Calibri"/>
      <family val="2"/>
    </font>
    <font>
      <sz val="11"/>
      <color theme="0"/>
      <name val="Calibri"/>
      <family val="2"/>
      <scheme val="minor"/>
    </font>
    <font>
      <sz val="12"/>
      <name val="Calibri"/>
      <family val="2"/>
    </font>
    <font>
      <sz val="12"/>
      <color theme="0"/>
      <name val="Calibri"/>
      <family val="2"/>
    </font>
    <font>
      <sz val="12"/>
      <color theme="0"/>
      <name val="Calibri"/>
      <family val="2"/>
      <scheme val="minor"/>
    </font>
    <font>
      <b/>
      <sz val="22"/>
      <color theme="9" tint="-0.499984740745262"/>
      <name val="Calibri"/>
      <family val="2"/>
    </font>
    <font>
      <b/>
      <sz val="28"/>
      <color theme="9" tint="-0.499984740745262"/>
      <name val="Calibri"/>
      <family val="2"/>
    </font>
    <font>
      <sz val="10"/>
      <color theme="0"/>
      <name val="Calibri"/>
      <family val="2"/>
      <scheme val="minor"/>
    </font>
    <font>
      <sz val="28"/>
      <color rgb="FF000000"/>
      <name val="Calibri"/>
      <family val="2"/>
    </font>
    <font>
      <sz val="14"/>
      <color theme="0"/>
      <name val="Calibri"/>
      <family val="2"/>
    </font>
    <font>
      <sz val="10"/>
      <color theme="1"/>
      <name val="Calibri"/>
      <family val="2"/>
    </font>
    <font>
      <sz val="24"/>
      <color rgb="FF00510B"/>
      <name val="Calibri"/>
      <family val="2"/>
    </font>
    <font>
      <sz val="11"/>
      <color rgb="FF282828"/>
      <name val="Calibri"/>
      <family val="2"/>
      <scheme val="minor"/>
    </font>
    <font>
      <sz val="18"/>
      <color rgb="FF00510B"/>
      <name val="Calibri"/>
      <family val="2"/>
      <scheme val="minor"/>
    </font>
    <font>
      <b/>
      <sz val="10"/>
      <color rgb="FFFFFFFF"/>
      <name val="Calibri"/>
      <family val="2"/>
    </font>
    <font>
      <sz val="22"/>
      <color rgb="FF000000"/>
      <name val="Calibri"/>
      <family val="2"/>
    </font>
    <font>
      <sz val="12"/>
      <color rgb="FF000000"/>
      <name val="Calibri"/>
      <family val="2"/>
    </font>
    <font>
      <sz val="10"/>
      <color rgb="FFFF0000"/>
      <name val="Calibri"/>
      <family val="2"/>
    </font>
    <font>
      <b/>
      <sz val="16"/>
      <color rgb="FF000000"/>
      <name val="Calibri"/>
      <family val="2"/>
    </font>
    <font>
      <sz val="28"/>
      <name val="Calibri"/>
      <family val="2"/>
    </font>
  </fonts>
  <fills count="15">
    <fill>
      <patternFill patternType="none"/>
    </fill>
    <fill>
      <patternFill patternType="gray125"/>
    </fill>
    <fill>
      <patternFill patternType="solid">
        <fgColor theme="1"/>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FF0000"/>
        <bgColor indexed="64"/>
      </patternFill>
    </fill>
    <fill>
      <patternFill patternType="solid">
        <fgColor rgb="FFFFFF00"/>
        <bgColor indexed="64"/>
      </patternFill>
    </fill>
    <fill>
      <patternFill patternType="solid">
        <fgColor rgb="FF00B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rgb="FF00510B"/>
        <bgColor indexed="64"/>
      </patternFill>
    </fill>
    <fill>
      <patternFill patternType="solid">
        <fgColor theme="4" tint="0.59999389629810485"/>
        <bgColor indexed="64"/>
      </patternFill>
    </fill>
    <fill>
      <patternFill patternType="solid">
        <fgColor rgb="FF92D050"/>
        <bgColor indexed="64"/>
      </patternFill>
    </fill>
    <fill>
      <patternFill patternType="solid">
        <fgColor rgb="FFC00000"/>
        <bgColor indexed="64"/>
      </patternFill>
    </fill>
    <fill>
      <patternFill patternType="solid">
        <fgColor rgb="FFFFC000"/>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thin">
        <color indexed="64"/>
      </right>
      <top/>
      <bottom style="medium">
        <color indexed="64"/>
      </bottom>
      <diagonal/>
    </border>
    <border>
      <left style="thin">
        <color indexed="64"/>
      </left>
      <right/>
      <top/>
      <bottom style="thin">
        <color indexed="64"/>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rgb="FF00510B"/>
      </left>
      <right style="medium">
        <color rgb="FF00510B"/>
      </right>
      <top style="medium">
        <color rgb="FF00510B"/>
      </top>
      <bottom style="medium">
        <color rgb="FF00510B"/>
      </bottom>
      <diagonal/>
    </border>
    <border>
      <left/>
      <right style="medium">
        <color rgb="FF00510B"/>
      </right>
      <top style="medium">
        <color rgb="FF00510B"/>
      </top>
      <bottom style="medium">
        <color rgb="FF00510B"/>
      </bottom>
      <diagonal/>
    </border>
    <border>
      <left style="medium">
        <color rgb="FF00510B"/>
      </left>
      <right style="medium">
        <color rgb="FF00510B"/>
      </right>
      <top/>
      <bottom style="medium">
        <color rgb="FF00510B"/>
      </bottom>
      <diagonal/>
    </border>
    <border>
      <left/>
      <right style="medium">
        <color rgb="FF00510B"/>
      </right>
      <top/>
      <bottom style="medium">
        <color rgb="FF00510B"/>
      </bottom>
      <diagonal/>
    </border>
    <border>
      <left/>
      <right/>
      <top/>
      <bottom style="medium">
        <color rgb="FF00510B"/>
      </bottom>
      <diagonal/>
    </border>
    <border>
      <left style="medium">
        <color rgb="FF00510B"/>
      </left>
      <right/>
      <top/>
      <bottom/>
      <diagonal/>
    </border>
    <border>
      <left style="medium">
        <color indexed="64"/>
      </left>
      <right style="medium">
        <color rgb="FF00510B"/>
      </right>
      <top style="medium">
        <color indexed="64"/>
      </top>
      <bottom style="medium">
        <color indexed="64"/>
      </bottom>
      <diagonal/>
    </border>
    <border>
      <left style="medium">
        <color rgb="FF00510B"/>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31">
    <xf numFmtId="0" fontId="0" fillId="0" borderId="0"/>
    <xf numFmtId="0" fontId="5" fillId="0" borderId="0"/>
    <xf numFmtId="0" fontId="4" fillId="0" borderId="0"/>
    <xf numFmtId="0" fontId="6" fillId="0" borderId="0"/>
    <xf numFmtId="0" fontId="7" fillId="0" borderId="0" applyNumberFormat="0" applyFill="0" applyBorder="0" applyAlignment="0" applyProtection="0">
      <alignment vertical="top"/>
      <protection locked="0"/>
    </xf>
    <xf numFmtId="0" fontId="6" fillId="0" borderId="0"/>
    <xf numFmtId="0" fontId="6" fillId="0" borderId="0"/>
    <xf numFmtId="0" fontId="6" fillId="0" borderId="0">
      <alignment vertical="center"/>
    </xf>
    <xf numFmtId="0" fontId="6" fillId="0" borderId="0">
      <alignment vertical="center"/>
    </xf>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0" fontId="6" fillId="0" borderId="0">
      <alignment vertical="center"/>
    </xf>
    <xf numFmtId="0" fontId="6" fillId="0" borderId="0">
      <alignment vertical="center"/>
    </xf>
    <xf numFmtId="0" fontId="6" fillId="0" borderId="0"/>
    <xf numFmtId="9" fontId="6" fillId="0" borderId="0" applyFont="0" applyFill="0" applyBorder="0" applyAlignment="0" applyProtection="0"/>
    <xf numFmtId="0" fontId="4" fillId="0" borderId="0"/>
    <xf numFmtId="0" fontId="8" fillId="0" borderId="0"/>
    <xf numFmtId="0" fontId="9" fillId="0" borderId="0"/>
    <xf numFmtId="0" fontId="6" fillId="0" borderId="0"/>
    <xf numFmtId="0" fontId="4" fillId="0" borderId="0"/>
    <xf numFmtId="0" fontId="4" fillId="0" borderId="0"/>
    <xf numFmtId="0" fontId="4" fillId="0" borderId="0"/>
    <xf numFmtId="0" fontId="4" fillId="0" borderId="0"/>
    <xf numFmtId="0" fontId="4" fillId="0" borderId="0"/>
    <xf numFmtId="0" fontId="3" fillId="0" borderId="0"/>
    <xf numFmtId="0" fontId="2" fillId="0" borderId="0"/>
    <xf numFmtId="0" fontId="30" fillId="0" borderId="0"/>
    <xf numFmtId="0" fontId="1" fillId="0" borderId="0"/>
  </cellStyleXfs>
  <cellXfs count="190">
    <xf numFmtId="0" fontId="0" fillId="0" borderId="0" xfId="0"/>
    <xf numFmtId="0" fontId="0" fillId="0" borderId="0" xfId="0" applyProtection="1">
      <protection locked="0"/>
    </xf>
    <xf numFmtId="0" fontId="12" fillId="0" borderId="0" xfId="0" applyFont="1" applyAlignment="1">
      <alignment vertical="top" wrapText="1"/>
    </xf>
    <xf numFmtId="0" fontId="12" fillId="0" borderId="0" xfId="0" applyFont="1" applyAlignment="1">
      <alignment vertical="top"/>
    </xf>
    <xf numFmtId="0" fontId="15" fillId="2" borderId="0" xfId="0" applyFont="1" applyFill="1" applyAlignment="1">
      <alignment horizontal="center"/>
    </xf>
    <xf numFmtId="0" fontId="16" fillId="0" borderId="0" xfId="0" applyFont="1" applyAlignment="1">
      <alignment horizontal="center"/>
    </xf>
    <xf numFmtId="0" fontId="0" fillId="0" borderId="0" xfId="0" applyAlignment="1">
      <alignment horizontal="center"/>
    </xf>
    <xf numFmtId="0" fontId="17" fillId="2" borderId="0" xfId="0" applyFont="1" applyFill="1" applyAlignment="1">
      <alignment horizontal="center"/>
    </xf>
    <xf numFmtId="0" fontId="10" fillId="0" borderId="0" xfId="0" applyFont="1" applyAlignment="1" applyProtection="1">
      <alignment horizontal="center" vertical="center"/>
      <protection locked="0"/>
    </xf>
    <xf numFmtId="0" fontId="12" fillId="0" borderId="3" xfId="0" applyFont="1" applyBorder="1" applyAlignment="1">
      <alignment vertical="top" wrapText="1"/>
    </xf>
    <xf numFmtId="0" fontId="10" fillId="0" borderId="3" xfId="0" applyFont="1" applyBorder="1" applyAlignment="1" applyProtection="1">
      <alignment horizontal="center" vertical="center"/>
      <protection locked="0"/>
    </xf>
    <xf numFmtId="0" fontId="0" fillId="0" borderId="4" xfId="0" applyBorder="1" applyProtection="1">
      <protection locked="0"/>
    </xf>
    <xf numFmtId="0" fontId="0" fillId="0" borderId="6" xfId="0" applyBorder="1" applyProtection="1">
      <protection locked="0"/>
    </xf>
    <xf numFmtId="0" fontId="12" fillId="0" borderId="8" xfId="0" applyFont="1" applyBorder="1" applyAlignment="1">
      <alignment vertical="top" wrapText="1"/>
    </xf>
    <xf numFmtId="0" fontId="10" fillId="0" borderId="8" xfId="0" applyFont="1" applyBorder="1" applyAlignment="1" applyProtection="1">
      <alignment horizontal="center" vertical="center"/>
      <protection locked="0"/>
    </xf>
    <xf numFmtId="0" fontId="0" fillId="0" borderId="9" xfId="0" applyBorder="1" applyProtection="1">
      <protection locked="0"/>
    </xf>
    <xf numFmtId="0" fontId="10" fillId="0" borderId="12" xfId="0" applyFont="1" applyBorder="1" applyAlignment="1" applyProtection="1">
      <alignment horizontal="center" vertical="center" wrapText="1"/>
      <protection locked="0"/>
    </xf>
    <xf numFmtId="0" fontId="0" fillId="0" borderId="13"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12" fillId="0" borderId="1" xfId="0" applyFont="1" applyBorder="1" applyAlignment="1">
      <alignment horizontal="center" vertical="center" wrapText="1"/>
    </xf>
    <xf numFmtId="0" fontId="12" fillId="0" borderId="12" xfId="0" applyFont="1" applyBorder="1" applyAlignment="1">
      <alignment horizontal="center" vertical="center" wrapText="1"/>
    </xf>
    <xf numFmtId="0" fontId="14" fillId="0" borderId="10" xfId="0" applyFont="1" applyBorder="1" applyAlignment="1">
      <alignment horizontal="center" vertical="center"/>
    </xf>
    <xf numFmtId="0" fontId="14" fillId="0" borderId="11" xfId="0" applyFont="1" applyBorder="1" applyAlignment="1">
      <alignment horizontal="center" vertical="center"/>
    </xf>
    <xf numFmtId="0" fontId="0" fillId="0" borderId="0" xfId="0" applyAlignment="1">
      <alignment horizontal="center" vertical="center"/>
    </xf>
    <xf numFmtId="0" fontId="10" fillId="0" borderId="0" xfId="0" applyFont="1" applyAlignment="1">
      <alignment horizontal="center"/>
    </xf>
    <xf numFmtId="0" fontId="10" fillId="0" borderId="2" xfId="0" applyFont="1" applyBorder="1" applyAlignment="1">
      <alignment horizontal="center"/>
    </xf>
    <xf numFmtId="0" fontId="19" fillId="0" borderId="5" xfId="0" applyFont="1" applyBorder="1" applyAlignment="1">
      <alignment horizontal="center"/>
    </xf>
    <xf numFmtId="0" fontId="10" fillId="0" borderId="7" xfId="0" applyFont="1" applyBorder="1" applyAlignment="1">
      <alignment horizontal="center"/>
    </xf>
    <xf numFmtId="0" fontId="14" fillId="0" borderId="19" xfId="0" applyFont="1" applyBorder="1" applyAlignment="1">
      <alignment horizontal="center" vertical="center"/>
    </xf>
    <xf numFmtId="0" fontId="12" fillId="0" borderId="20" xfId="0" applyFont="1" applyBorder="1" applyAlignment="1">
      <alignment horizontal="left" vertical="center" wrapText="1"/>
    </xf>
    <xf numFmtId="0" fontId="14" fillId="0" borderId="14" xfId="0" applyFont="1" applyBorder="1" applyAlignment="1">
      <alignment horizontal="center" vertical="center"/>
    </xf>
    <xf numFmtId="0" fontId="12" fillId="0" borderId="15" xfId="0" applyFont="1" applyBorder="1" applyAlignment="1">
      <alignment horizontal="center" vertical="center" wrapText="1"/>
    </xf>
    <xf numFmtId="0" fontId="0" fillId="0" borderId="10" xfId="0" applyBorder="1" applyAlignment="1">
      <alignment horizontal="left" vertical="center"/>
    </xf>
    <xf numFmtId="0" fontId="0" fillId="0" borderId="11" xfId="0" applyBorder="1" applyAlignment="1">
      <alignment horizontal="left" vertical="center"/>
    </xf>
    <xf numFmtId="1" fontId="0" fillId="0" borderId="22" xfId="0" applyNumberFormat="1" applyBorder="1" applyAlignment="1">
      <alignment horizontal="center" vertical="center"/>
    </xf>
    <xf numFmtId="0" fontId="0" fillId="0" borderId="19" xfId="0" applyBorder="1" applyAlignment="1">
      <alignment horizontal="left" vertical="center"/>
    </xf>
    <xf numFmtId="0" fontId="0" fillId="0" borderId="22" xfId="0" applyBorder="1" applyAlignment="1">
      <alignment horizontal="center" vertical="center"/>
    </xf>
    <xf numFmtId="0" fontId="0" fillId="0" borderId="23" xfId="0" applyBorder="1" applyAlignment="1">
      <alignment horizontal="center" vertical="center"/>
    </xf>
    <xf numFmtId="0" fontId="10" fillId="0" borderId="5" xfId="0" applyFont="1" applyBorder="1" applyAlignment="1">
      <alignment horizontal="center"/>
    </xf>
    <xf numFmtId="2" fontId="0" fillId="0" borderId="0" xfId="0" applyNumberFormat="1" applyAlignment="1">
      <alignment horizontal="center" vertical="center"/>
    </xf>
    <xf numFmtId="0" fontId="18" fillId="3" borderId="0" xfId="0" applyFont="1" applyFill="1" applyAlignment="1">
      <alignment horizontal="center" vertical="center" wrapText="1"/>
    </xf>
    <xf numFmtId="0" fontId="17" fillId="3" borderId="0" xfId="0" applyFont="1" applyFill="1" applyAlignment="1" applyProtection="1">
      <alignment horizontal="center" vertical="center"/>
      <protection locked="0"/>
    </xf>
    <xf numFmtId="0" fontId="17" fillId="3" borderId="27" xfId="0" applyFont="1" applyFill="1" applyBorder="1"/>
    <xf numFmtId="0" fontId="17" fillId="3" borderId="28" xfId="0" applyFont="1" applyFill="1" applyBorder="1"/>
    <xf numFmtId="0" fontId="21" fillId="8" borderId="1" xfId="0" applyFont="1" applyFill="1" applyBorder="1" applyAlignment="1">
      <alignment horizontal="center" wrapText="1"/>
    </xf>
    <xf numFmtId="0" fontId="21" fillId="8" borderId="10" xfId="0" applyFont="1" applyFill="1" applyBorder="1" applyAlignment="1">
      <alignment horizontal="center" wrapText="1"/>
    </xf>
    <xf numFmtId="0" fontId="21" fillId="8" borderId="22" xfId="0" applyFont="1" applyFill="1" applyBorder="1" applyAlignment="1">
      <alignment horizontal="center" wrapText="1"/>
    </xf>
    <xf numFmtId="0" fontId="12" fillId="0" borderId="20" xfId="0" applyFont="1" applyBorder="1" applyAlignment="1">
      <alignment horizontal="center" vertical="center" wrapText="1"/>
    </xf>
    <xf numFmtId="0" fontId="10" fillId="0" borderId="20" xfId="0" applyFont="1" applyBorder="1" applyAlignment="1" applyProtection="1">
      <alignment horizontal="center" vertical="center" wrapText="1"/>
      <protection locked="0"/>
    </xf>
    <xf numFmtId="0" fontId="12" fillId="0" borderId="30" xfId="0" applyFont="1" applyBorder="1" applyAlignment="1">
      <alignment horizontal="left" vertical="center" wrapText="1"/>
    </xf>
    <xf numFmtId="0" fontId="0" fillId="0" borderId="18"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0" xfId="0" applyBorder="1" applyAlignment="1">
      <alignment horizontal="center" vertical="center"/>
    </xf>
    <xf numFmtId="0" fontId="22" fillId="6" borderId="14" xfId="0" applyFont="1" applyFill="1" applyBorder="1" applyAlignment="1">
      <alignment horizontal="center" vertical="center"/>
    </xf>
    <xf numFmtId="0" fontId="22" fillId="6" borderId="15" xfId="0" applyFont="1" applyFill="1" applyBorder="1" applyAlignment="1">
      <alignment horizontal="center" vertical="center"/>
    </xf>
    <xf numFmtId="0" fontId="22" fillId="7" borderId="10" xfId="0" applyFont="1" applyFill="1" applyBorder="1" applyAlignment="1">
      <alignment horizontal="center" vertical="center"/>
    </xf>
    <xf numFmtId="0" fontId="22" fillId="6" borderId="1" xfId="0" applyFont="1" applyFill="1" applyBorder="1" applyAlignment="1">
      <alignment horizontal="center" vertical="center"/>
    </xf>
    <xf numFmtId="0" fontId="22" fillId="6" borderId="22" xfId="0" applyFont="1" applyFill="1" applyBorder="1" applyAlignment="1">
      <alignment horizontal="center" vertical="center"/>
    </xf>
    <xf numFmtId="0" fontId="22" fillId="7" borderId="12" xfId="0" applyFont="1" applyFill="1" applyBorder="1" applyAlignment="1">
      <alignment horizontal="center" vertical="center"/>
    </xf>
    <xf numFmtId="0" fontId="22" fillId="6" borderId="23" xfId="0" applyFont="1" applyFill="1" applyBorder="1" applyAlignment="1">
      <alignment horizontal="center" vertical="center"/>
    </xf>
    <xf numFmtId="0" fontId="0" fillId="6" borderId="14" xfId="0" applyFill="1" applyBorder="1" applyAlignment="1">
      <alignment horizontal="center" vertical="center"/>
    </xf>
    <xf numFmtId="0" fontId="0" fillId="6" borderId="15" xfId="0" applyFill="1" applyBorder="1" applyAlignment="1">
      <alignment horizontal="center" vertical="center"/>
    </xf>
    <xf numFmtId="0" fontId="0" fillId="7" borderId="10" xfId="0" applyFill="1" applyBorder="1" applyAlignment="1">
      <alignment horizontal="center" vertical="center"/>
    </xf>
    <xf numFmtId="0" fontId="0" fillId="6" borderId="1" xfId="0" applyFill="1" applyBorder="1" applyAlignment="1">
      <alignment horizontal="center" vertical="center"/>
    </xf>
    <xf numFmtId="0" fontId="0" fillId="7" borderId="1" xfId="0" applyFill="1" applyBorder="1" applyAlignment="1">
      <alignment horizontal="center" vertical="center"/>
    </xf>
    <xf numFmtId="0" fontId="0" fillId="9" borderId="10" xfId="0" applyFill="1" applyBorder="1" applyAlignment="1">
      <alignment horizontal="center" vertical="center"/>
    </xf>
    <xf numFmtId="0" fontId="0" fillId="6" borderId="22" xfId="0" applyFill="1" applyBorder="1" applyAlignment="1">
      <alignment horizontal="center" vertical="center"/>
    </xf>
    <xf numFmtId="0" fontId="0" fillId="9" borderId="11" xfId="0" applyFill="1" applyBorder="1" applyAlignment="1">
      <alignment horizontal="center" vertical="center"/>
    </xf>
    <xf numFmtId="0" fontId="0" fillId="9" borderId="12" xfId="0" applyFill="1" applyBorder="1" applyAlignment="1">
      <alignment horizontal="center" vertical="center"/>
    </xf>
    <xf numFmtId="0" fontId="0" fillId="7" borderId="12" xfId="0" applyFill="1" applyBorder="1" applyAlignment="1">
      <alignment horizontal="center" vertical="center"/>
    </xf>
    <xf numFmtId="0" fontId="0" fillId="6" borderId="23" xfId="0" applyFill="1" applyBorder="1" applyAlignment="1">
      <alignment horizontal="center" vertical="center"/>
    </xf>
    <xf numFmtId="0" fontId="16" fillId="0" borderId="12" xfId="0" applyFont="1" applyBorder="1" applyAlignment="1">
      <alignment horizontal="center" vertical="center"/>
    </xf>
    <xf numFmtId="0" fontId="16" fillId="0" borderId="11" xfId="0" applyFont="1" applyBorder="1" applyAlignment="1">
      <alignment horizontal="center" vertical="center"/>
    </xf>
    <xf numFmtId="0" fontId="16" fillId="0" borderId="23" xfId="0" applyFont="1" applyBorder="1" applyAlignment="1">
      <alignment horizontal="center" vertical="center"/>
    </xf>
    <xf numFmtId="0" fontId="25" fillId="0" borderId="0" xfId="27" applyFont="1" applyAlignment="1">
      <alignment horizontal="left" vertical="top"/>
    </xf>
    <xf numFmtId="0" fontId="3" fillId="0" borderId="0" xfId="27"/>
    <xf numFmtId="0" fontId="27" fillId="0" borderId="0" xfId="27" applyFont="1" applyAlignment="1">
      <alignment horizontal="left" vertical="top"/>
    </xf>
    <xf numFmtId="0" fontId="26" fillId="0" borderId="43" xfId="27" applyFont="1" applyBorder="1" applyAlignment="1">
      <alignment horizontal="left" vertical="top"/>
    </xf>
    <xf numFmtId="0" fontId="24" fillId="0" borderId="41" xfId="27" applyFont="1" applyBorder="1" applyAlignment="1">
      <alignment horizontal="left" vertical="top" wrapText="1"/>
    </xf>
    <xf numFmtId="0" fontId="10" fillId="0" borderId="34" xfId="0" applyFont="1" applyBorder="1" applyAlignment="1" applyProtection="1">
      <alignment horizontal="center" vertical="center" wrapText="1"/>
      <protection locked="0"/>
    </xf>
    <xf numFmtId="0" fontId="24" fillId="0" borderId="42" xfId="27" quotePrefix="1" applyFont="1" applyBorder="1" applyAlignment="1">
      <alignment horizontal="left" vertical="top" wrapText="1"/>
    </xf>
    <xf numFmtId="0" fontId="26" fillId="0" borderId="0" xfId="27" applyFont="1" applyAlignment="1">
      <alignment horizontal="left" vertical="center"/>
    </xf>
    <xf numFmtId="0" fontId="3" fillId="0" borderId="0" xfId="27" applyAlignment="1">
      <alignment horizontal="left"/>
    </xf>
    <xf numFmtId="0" fontId="28" fillId="10" borderId="39" xfId="27" applyFont="1" applyFill="1" applyBorder="1" applyAlignment="1">
      <alignment horizontal="left" vertical="top" wrapText="1"/>
    </xf>
    <xf numFmtId="0" fontId="28" fillId="10" borderId="40" xfId="27" applyFont="1" applyFill="1" applyBorder="1" applyAlignment="1">
      <alignment horizontal="left" vertical="top" wrapText="1"/>
    </xf>
    <xf numFmtId="164" fontId="24" fillId="0" borderId="41" xfId="27" applyNumberFormat="1" applyFont="1" applyBorder="1" applyAlignment="1">
      <alignment horizontal="left" vertical="top" wrapText="1"/>
    </xf>
    <xf numFmtId="0" fontId="24" fillId="0" borderId="42" xfId="27" applyFont="1" applyBorder="1" applyAlignment="1">
      <alignment horizontal="left" vertical="top" wrapText="1"/>
    </xf>
    <xf numFmtId="14" fontId="24" fillId="0" borderId="42" xfId="27" applyNumberFormat="1" applyFont="1" applyBorder="1" applyAlignment="1">
      <alignment horizontal="left" vertical="top" wrapText="1"/>
    </xf>
    <xf numFmtId="0" fontId="3" fillId="0" borderId="0" xfId="27" applyAlignment="1">
      <alignment horizontal="left" vertical="top"/>
    </xf>
    <xf numFmtId="0" fontId="26" fillId="0" borderId="0" xfId="27" applyFont="1" applyAlignment="1">
      <alignment horizontal="left" vertical="top"/>
    </xf>
    <xf numFmtId="0" fontId="28" fillId="10" borderId="44" xfId="27" applyFont="1" applyFill="1" applyBorder="1" applyAlignment="1">
      <alignment horizontal="left" vertical="top" wrapText="1"/>
    </xf>
    <xf numFmtId="0" fontId="28" fillId="10" borderId="0" xfId="27" applyFont="1" applyFill="1" applyAlignment="1">
      <alignment horizontal="left" vertical="top" wrapText="1"/>
    </xf>
    <xf numFmtId="0" fontId="24" fillId="0" borderId="41" xfId="0" applyFont="1" applyBorder="1" applyAlignment="1">
      <alignment horizontal="justify" vertical="center" wrapText="1"/>
    </xf>
    <xf numFmtId="0" fontId="24" fillId="0" borderId="42" xfId="0" applyFont="1" applyBorder="1" applyAlignment="1">
      <alignment horizontal="justify" vertical="center" wrapText="1"/>
    </xf>
    <xf numFmtId="14" fontId="24" fillId="0" borderId="42" xfId="0" applyNumberFormat="1" applyFont="1" applyBorder="1" applyAlignment="1">
      <alignment horizontal="justify" vertical="center" wrapText="1"/>
    </xf>
    <xf numFmtId="164" fontId="24" fillId="0" borderId="41" xfId="0" applyNumberFormat="1" applyFont="1" applyBorder="1" applyAlignment="1">
      <alignment horizontal="justify" vertical="center" wrapText="1"/>
    </xf>
    <xf numFmtId="0" fontId="28" fillId="10" borderId="45" xfId="27" applyFont="1" applyFill="1" applyBorder="1" applyAlignment="1">
      <alignment horizontal="left" vertical="top" wrapText="1"/>
    </xf>
    <xf numFmtId="14" fontId="24" fillId="0" borderId="46" xfId="27" applyNumberFormat="1" applyFont="1" applyBorder="1" applyAlignment="1">
      <alignment horizontal="left" vertical="top" wrapText="1"/>
    </xf>
    <xf numFmtId="0" fontId="16" fillId="4" borderId="24" xfId="0" applyFont="1" applyFill="1" applyBorder="1" applyAlignment="1">
      <alignment horizontal="left" vertical="center"/>
    </xf>
    <xf numFmtId="0" fontId="16" fillId="4" borderId="18" xfId="0" applyFont="1" applyFill="1" applyBorder="1" applyAlignment="1">
      <alignment horizontal="left" vertical="center"/>
    </xf>
    <xf numFmtId="0" fontId="0" fillId="11" borderId="1" xfId="0" applyFill="1" applyBorder="1" applyAlignment="1">
      <alignment horizontal="left" vertical="center"/>
    </xf>
    <xf numFmtId="1" fontId="0" fillId="11" borderId="1" xfId="0" applyNumberFormat="1" applyFill="1" applyBorder="1"/>
    <xf numFmtId="0" fontId="0" fillId="0" borderId="1" xfId="0" applyBorder="1" applyAlignment="1">
      <alignment horizontal="left" vertical="center"/>
    </xf>
    <xf numFmtId="0" fontId="0" fillId="0" borderId="1" xfId="0" applyBorder="1" applyAlignment="1">
      <alignment horizontal="center"/>
    </xf>
    <xf numFmtId="0" fontId="16" fillId="0" borderId="1" xfId="0" applyFont="1" applyBorder="1" applyAlignment="1">
      <alignment horizontal="left"/>
    </xf>
    <xf numFmtId="0" fontId="0" fillId="11" borderId="1" xfId="0" applyFill="1" applyBorder="1" applyAlignment="1">
      <alignment horizontal="center" vertical="center"/>
    </xf>
    <xf numFmtId="0" fontId="16" fillId="4" borderId="26" xfId="0" applyFont="1" applyFill="1" applyBorder="1" applyAlignment="1">
      <alignment horizontal="left" vertical="center"/>
    </xf>
    <xf numFmtId="0" fontId="16" fillId="4" borderId="25" xfId="0" applyFont="1" applyFill="1" applyBorder="1" applyAlignment="1">
      <alignment horizontal="left" vertical="center"/>
    </xf>
    <xf numFmtId="0" fontId="0" fillId="4" borderId="26" xfId="0" applyFill="1" applyBorder="1" applyAlignment="1">
      <alignment horizontal="left" vertical="center"/>
    </xf>
    <xf numFmtId="0" fontId="0" fillId="4" borderId="26" xfId="0" applyFill="1" applyBorder="1" applyAlignment="1">
      <alignment vertical="center"/>
    </xf>
    <xf numFmtId="0" fontId="0" fillId="4" borderId="25" xfId="0" applyFill="1" applyBorder="1" applyAlignment="1">
      <alignment vertical="center"/>
    </xf>
    <xf numFmtId="0" fontId="0" fillId="4" borderId="21" xfId="0" applyFill="1" applyBorder="1" applyAlignment="1">
      <alignment horizontal="left" vertical="center"/>
    </xf>
    <xf numFmtId="0" fontId="0" fillId="4" borderId="21" xfId="0" applyFill="1" applyBorder="1" applyAlignment="1">
      <alignment vertical="center"/>
    </xf>
    <xf numFmtId="0" fontId="0" fillId="4" borderId="29" xfId="0" applyFill="1" applyBorder="1" applyAlignment="1">
      <alignment vertical="center"/>
    </xf>
    <xf numFmtId="2" fontId="0" fillId="0" borderId="22" xfId="0" applyNumberFormat="1" applyBorder="1" applyAlignment="1">
      <alignment horizontal="center" vertical="center"/>
    </xf>
    <xf numFmtId="1" fontId="0" fillId="0" borderId="13" xfId="0" quotePrefix="1" applyNumberFormat="1" applyBorder="1" applyAlignment="1">
      <alignment horizontal="center" vertical="center"/>
    </xf>
    <xf numFmtId="1" fontId="0" fillId="0" borderId="23" xfId="0" quotePrefix="1" applyNumberFormat="1" applyBorder="1" applyAlignment="1">
      <alignment horizontal="center" vertical="center"/>
    </xf>
    <xf numFmtId="0" fontId="32" fillId="0" borderId="0" xfId="0" applyFont="1" applyAlignment="1">
      <alignment horizontal="left" vertical="top" wrapText="1"/>
    </xf>
    <xf numFmtId="0" fontId="22" fillId="12" borderId="10" xfId="0" applyFont="1" applyFill="1" applyBorder="1" applyAlignment="1">
      <alignment horizontal="center" vertical="center"/>
    </xf>
    <xf numFmtId="0" fontId="22" fillId="12" borderId="1" xfId="0" applyFont="1" applyFill="1" applyBorder="1" applyAlignment="1">
      <alignment horizontal="center" vertical="center"/>
    </xf>
    <xf numFmtId="0" fontId="22" fillId="12" borderId="12" xfId="0" applyFont="1" applyFill="1" applyBorder="1" applyAlignment="1">
      <alignment horizontal="center" vertical="center"/>
    </xf>
    <xf numFmtId="0" fontId="22" fillId="7" borderId="11" xfId="0" applyFont="1" applyFill="1" applyBorder="1" applyAlignment="1">
      <alignment horizontal="center" vertical="center"/>
    </xf>
    <xf numFmtId="0" fontId="22" fillId="5" borderId="15" xfId="0" applyFont="1" applyFill="1" applyBorder="1" applyAlignment="1">
      <alignment horizontal="center" vertical="center"/>
    </xf>
    <xf numFmtId="0" fontId="22" fillId="5" borderId="1" xfId="0" applyFont="1" applyFill="1" applyBorder="1" applyAlignment="1">
      <alignment horizontal="center" vertical="center"/>
    </xf>
    <xf numFmtId="0" fontId="22" fillId="5" borderId="22" xfId="0" applyFont="1" applyFill="1" applyBorder="1" applyAlignment="1">
      <alignment horizontal="center" vertical="center"/>
    </xf>
    <xf numFmtId="0" fontId="33" fillId="13" borderId="16" xfId="0" applyFont="1" applyFill="1" applyBorder="1" applyAlignment="1">
      <alignment horizontal="center" vertical="center"/>
    </xf>
    <xf numFmtId="0" fontId="29" fillId="0" borderId="0" xfId="0" applyFont="1" applyAlignment="1">
      <alignment horizontal="center" vertical="center"/>
    </xf>
    <xf numFmtId="0" fontId="0" fillId="13" borderId="16" xfId="0" applyFill="1" applyBorder="1" applyAlignment="1">
      <alignment horizontal="center" vertical="center"/>
    </xf>
    <xf numFmtId="0" fontId="0" fillId="5" borderId="15" xfId="0" applyFill="1" applyBorder="1" applyAlignment="1">
      <alignment horizontal="center" vertical="center"/>
    </xf>
    <xf numFmtId="0" fontId="0" fillId="5" borderId="1" xfId="0" applyFill="1" applyBorder="1" applyAlignment="1">
      <alignment horizontal="center" vertical="center"/>
    </xf>
    <xf numFmtId="0" fontId="0" fillId="5" borderId="22" xfId="0" applyFill="1" applyBorder="1" applyAlignment="1">
      <alignment horizontal="center" vertical="center"/>
    </xf>
    <xf numFmtId="0" fontId="18" fillId="3" borderId="47" xfId="0" applyFont="1" applyFill="1" applyBorder="1" applyAlignment="1">
      <alignment horizontal="center" vertical="top" wrapText="1"/>
    </xf>
    <xf numFmtId="0" fontId="18" fillId="3" borderId="47" xfId="0" applyFont="1" applyFill="1" applyBorder="1" applyAlignment="1">
      <alignment horizontal="center" wrapText="1"/>
    </xf>
    <xf numFmtId="0" fontId="17" fillId="3" borderId="47" xfId="0" applyFont="1" applyFill="1" applyBorder="1" applyAlignment="1" applyProtection="1">
      <alignment horizontal="center" vertical="top"/>
      <protection locked="0"/>
    </xf>
    <xf numFmtId="0" fontId="18" fillId="3" borderId="5" xfId="0" applyFont="1" applyFill="1" applyBorder="1" applyAlignment="1">
      <alignment horizontal="left" vertical="top" wrapText="1"/>
    </xf>
    <xf numFmtId="0" fontId="17" fillId="3" borderId="5" xfId="0" applyFont="1" applyFill="1" applyBorder="1" applyAlignment="1">
      <alignment horizontal="center" vertical="top"/>
    </xf>
    <xf numFmtId="0" fontId="12" fillId="5" borderId="20" xfId="0" applyFont="1" applyFill="1" applyBorder="1" applyAlignment="1">
      <alignment horizontal="center" vertical="center" wrapText="1"/>
    </xf>
    <xf numFmtId="0" fontId="16" fillId="4" borderId="28" xfId="0" applyFont="1" applyFill="1" applyBorder="1" applyAlignment="1">
      <alignment horizontal="left" vertical="center" indent="1"/>
    </xf>
    <xf numFmtId="0" fontId="12" fillId="0" borderId="13" xfId="0" applyFont="1" applyBorder="1" applyAlignment="1">
      <alignment horizontal="left" vertical="center" wrapText="1" indent="1"/>
    </xf>
    <xf numFmtId="0" fontId="12" fillId="0" borderId="22" xfId="0" applyFont="1" applyBorder="1" applyAlignment="1">
      <alignment horizontal="left" vertical="center" wrapText="1" indent="1"/>
    </xf>
    <xf numFmtId="0" fontId="12" fillId="0" borderId="35" xfId="0" applyFont="1" applyBorder="1" applyAlignment="1">
      <alignment horizontal="left" vertical="center" wrapText="1" indent="1"/>
    </xf>
    <xf numFmtId="0" fontId="16" fillId="4" borderId="25" xfId="0" applyFont="1" applyFill="1" applyBorder="1" applyAlignment="1">
      <alignment horizontal="left" vertical="center" indent="1"/>
    </xf>
    <xf numFmtId="0" fontId="12" fillId="0" borderId="20" xfId="0" applyFont="1" applyBorder="1" applyAlignment="1">
      <alignment horizontal="left" vertical="center" wrapText="1" indent="1"/>
    </xf>
    <xf numFmtId="0" fontId="12" fillId="0" borderId="1" xfId="0" applyFont="1" applyBorder="1" applyAlignment="1">
      <alignment horizontal="left" vertical="center" wrapText="1" indent="1"/>
    </xf>
    <xf numFmtId="0" fontId="12" fillId="0" borderId="12" xfId="0" applyFont="1" applyBorder="1" applyAlignment="1">
      <alignment horizontal="left" vertical="center" wrapText="1" indent="1"/>
    </xf>
    <xf numFmtId="0" fontId="12" fillId="0" borderId="15" xfId="0" applyFont="1" applyBorder="1" applyAlignment="1">
      <alignment horizontal="left" vertical="center" wrapText="1" indent="1"/>
    </xf>
    <xf numFmtId="0" fontId="12" fillId="14" borderId="22" xfId="0" applyFont="1" applyFill="1" applyBorder="1" applyAlignment="1">
      <alignment horizontal="left" vertical="center" wrapText="1" indent="1"/>
    </xf>
    <xf numFmtId="0" fontId="12" fillId="0" borderId="23" xfId="0" applyFont="1" applyBorder="1" applyAlignment="1">
      <alignment horizontal="left" vertical="center" wrapText="1" indent="1"/>
    </xf>
    <xf numFmtId="0" fontId="27" fillId="0" borderId="43" xfId="27" applyFont="1" applyBorder="1" applyAlignment="1">
      <alignment horizontal="left" vertical="top"/>
    </xf>
    <xf numFmtId="0" fontId="28" fillId="10" borderId="44" xfId="27" applyFont="1" applyFill="1" applyBorder="1" applyAlignment="1">
      <alignment horizontal="left" vertical="top" wrapText="1"/>
    </xf>
    <xf numFmtId="0" fontId="28" fillId="10" borderId="0" xfId="27" applyFont="1" applyFill="1" applyAlignment="1">
      <alignment horizontal="left" vertical="top" wrapText="1"/>
    </xf>
    <xf numFmtId="0" fontId="27" fillId="0" borderId="0" xfId="27" applyFont="1" applyAlignment="1">
      <alignment horizontal="left" vertical="top"/>
    </xf>
    <xf numFmtId="0" fontId="26" fillId="0" borderId="0" xfId="27" applyFont="1" applyAlignment="1">
      <alignment horizontal="left" vertical="top" wrapText="1"/>
    </xf>
    <xf numFmtId="0" fontId="16" fillId="4" borderId="24" xfId="0" applyFont="1" applyFill="1" applyBorder="1" applyAlignment="1">
      <alignment horizontal="left" vertical="center"/>
    </xf>
    <xf numFmtId="0" fontId="0" fillId="0" borderId="26" xfId="0" applyBorder="1" applyAlignment="1">
      <alignment horizontal="left" vertical="center"/>
    </xf>
    <xf numFmtId="0" fontId="0" fillId="0" borderId="25" xfId="0" applyBorder="1" applyAlignment="1">
      <alignment vertical="center"/>
    </xf>
    <xf numFmtId="0" fontId="18" fillId="0" borderId="0" xfId="0" applyFont="1" applyAlignment="1">
      <alignment horizontal="center" vertical="center"/>
    </xf>
    <xf numFmtId="0" fontId="0" fillId="0" borderId="0" xfId="0" applyAlignment="1">
      <alignment horizontal="center" vertical="center" wrapText="1"/>
    </xf>
    <xf numFmtId="0" fontId="18" fillId="0" borderId="0" xfId="0" applyFont="1" applyAlignment="1">
      <alignment horizontal="center" vertical="center" textRotation="90"/>
    </xf>
    <xf numFmtId="0" fontId="0" fillId="0" borderId="0" xfId="0" applyAlignment="1">
      <alignment horizontal="center"/>
    </xf>
    <xf numFmtId="0" fontId="0" fillId="0" borderId="26" xfId="0" applyBorder="1" applyAlignment="1">
      <alignment vertical="center"/>
    </xf>
    <xf numFmtId="0" fontId="18" fillId="8" borderId="7" xfId="0" applyFont="1" applyFill="1" applyBorder="1" applyAlignment="1">
      <alignment horizontal="center" vertical="center"/>
    </xf>
    <xf numFmtId="0" fontId="18" fillId="8" borderId="8" xfId="0" applyFont="1" applyFill="1" applyBorder="1" applyAlignment="1">
      <alignment horizontal="center" vertical="center"/>
    </xf>
    <xf numFmtId="0" fontId="18" fillId="8" borderId="9" xfId="0" applyFont="1" applyFill="1" applyBorder="1" applyAlignment="1">
      <alignment horizontal="center" vertical="center"/>
    </xf>
    <xf numFmtId="0" fontId="18" fillId="8" borderId="36" xfId="0" applyFont="1" applyFill="1" applyBorder="1" applyAlignment="1">
      <alignment horizontal="center" vertical="center" textRotation="90"/>
    </xf>
    <xf numFmtId="0" fontId="18" fillId="8" borderId="37" xfId="0" applyFont="1" applyFill="1" applyBorder="1" applyAlignment="1">
      <alignment horizontal="center" vertical="center" textRotation="90"/>
    </xf>
    <xf numFmtId="0" fontId="18" fillId="8" borderId="38" xfId="0" applyFont="1" applyFill="1" applyBorder="1" applyAlignment="1">
      <alignment horizontal="center" vertical="center" textRotation="90"/>
    </xf>
    <xf numFmtId="0" fontId="18" fillId="8" borderId="24" xfId="0" applyFont="1" applyFill="1" applyBorder="1" applyAlignment="1">
      <alignment horizontal="center" vertical="center"/>
    </xf>
    <xf numFmtId="0" fontId="18" fillId="8" borderId="26" xfId="0" applyFont="1" applyFill="1" applyBorder="1" applyAlignment="1">
      <alignment horizontal="center" vertical="center"/>
    </xf>
    <xf numFmtId="0" fontId="18" fillId="8" borderId="25" xfId="0" applyFont="1" applyFill="1" applyBorder="1" applyAlignment="1">
      <alignment horizontal="center" vertical="center"/>
    </xf>
    <xf numFmtId="0" fontId="0" fillId="0" borderId="2" xfId="0" applyBorder="1" applyAlignment="1">
      <alignment horizontal="center" vertical="center" wrapText="1"/>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23" fillId="3" borderId="14" xfId="0" applyFont="1" applyFill="1" applyBorder="1" applyAlignment="1">
      <alignment horizontal="center"/>
    </xf>
    <xf numFmtId="0" fontId="23" fillId="3" borderId="16" xfId="0" applyFont="1" applyFill="1" applyBorder="1" applyAlignment="1">
      <alignment horizontal="center"/>
    </xf>
    <xf numFmtId="0" fontId="20" fillId="0" borderId="0" xfId="0" applyFont="1" applyAlignment="1">
      <alignment horizontal="left" vertical="center"/>
    </xf>
    <xf numFmtId="0" fontId="0" fillId="0" borderId="0" xfId="0"/>
    <xf numFmtId="0" fontId="17" fillId="3" borderId="18" xfId="0" applyFont="1" applyFill="1" applyBorder="1" applyAlignment="1">
      <alignment horizontal="center" vertical="center"/>
    </xf>
    <xf numFmtId="0" fontId="17" fillId="3" borderId="21" xfId="0" applyFont="1" applyFill="1" applyBorder="1" applyAlignment="1">
      <alignment horizontal="center" vertical="center"/>
    </xf>
    <xf numFmtId="0" fontId="0" fillId="0" borderId="29" xfId="0" applyBorder="1"/>
    <xf numFmtId="0" fontId="16" fillId="4" borderId="26" xfId="0" applyFont="1" applyFill="1" applyBorder="1" applyAlignment="1">
      <alignment horizontal="left" vertical="center"/>
    </xf>
    <xf numFmtId="0" fontId="16" fillId="4" borderId="25" xfId="0" applyFont="1" applyFill="1" applyBorder="1" applyAlignment="1">
      <alignment horizontal="left" vertical="center"/>
    </xf>
    <xf numFmtId="0" fontId="18" fillId="8" borderId="2" xfId="0" applyFont="1" applyFill="1" applyBorder="1" applyAlignment="1">
      <alignment horizontal="center" vertical="center" textRotation="90"/>
    </xf>
    <xf numFmtId="0" fontId="18" fillId="8" borderId="5" xfId="0" applyFont="1" applyFill="1" applyBorder="1" applyAlignment="1">
      <alignment horizontal="center" vertical="center" textRotation="90"/>
    </xf>
    <xf numFmtId="0" fontId="18" fillId="8" borderId="7" xfId="0" applyFont="1" applyFill="1" applyBorder="1" applyAlignment="1">
      <alignment horizontal="center" vertical="center" textRotation="90"/>
    </xf>
    <xf numFmtId="0" fontId="32" fillId="0" borderId="0" xfId="0" applyFont="1" applyAlignment="1">
      <alignment horizontal="left" vertical="top" wrapText="1"/>
    </xf>
  </cellXfs>
  <cellStyles count="31">
    <cellStyle name="Hyperlink 2" xfId="4" xr:uid="{5E9EB85C-6847-4190-95D6-D621DAFA57C8}"/>
    <cellStyle name="Normal" xfId="0" builtinId="0" customBuiltin="1"/>
    <cellStyle name="Normal 10" xfId="27" xr:uid="{BF1877E3-CDC1-4D30-92D4-7CA062A1E609}"/>
    <cellStyle name="Normal 11" xfId="30" xr:uid="{01DD2930-7F63-4AC1-8324-A4AA371F66EA}"/>
    <cellStyle name="Normal 2" xfId="1" xr:uid="{31AC43AC-CDB8-4EDB-822E-8CC74447C201}"/>
    <cellStyle name="Normal 2 2" xfId="2" xr:uid="{72E1743F-80A9-482E-B356-FFF3DC309BC3}"/>
    <cellStyle name="Normal 2 2 2" xfId="13" xr:uid="{C80E39DF-235B-4A99-91DD-324851AFF7DF}"/>
    <cellStyle name="Normal 2 2 3" xfId="6" xr:uid="{24D51D9D-F635-4A7C-868F-C6B2AB9CA023}"/>
    <cellStyle name="Normal 2 3" xfId="12" xr:uid="{0D64F6EC-9A86-483E-8D2C-5A2136491E76}"/>
    <cellStyle name="Normal 2 4" xfId="5" xr:uid="{D36F977A-36F9-4F08-9288-0CB38F22C8F1}"/>
    <cellStyle name="Normal 2 5" xfId="28" xr:uid="{7F079DCB-B175-403D-9061-8F3CFE4C714D}"/>
    <cellStyle name="Normal 3" xfId="7" xr:uid="{E98AF98B-300E-428A-826E-A834C7C5B43B}"/>
    <cellStyle name="Normal 3 2" xfId="8" xr:uid="{009F5563-FAB4-4007-8919-034B1C0F8BC7}"/>
    <cellStyle name="Normal 3 2 2" xfId="15" xr:uid="{5CAD978C-0CA9-4666-B097-0D814560D7FC}"/>
    <cellStyle name="Normal 3 3" xfId="14" xr:uid="{C30D32B9-8399-456D-98EE-FE89898C151E}"/>
    <cellStyle name="Normal 3 4" xfId="29" xr:uid="{BCF0DF0C-0A6C-48C3-8249-A756F172C9B1}"/>
    <cellStyle name="Normal 4" xfId="9" xr:uid="{0BE64443-82E4-4EFE-9A2F-12E0260AA6F4}"/>
    <cellStyle name="Normal 4 2" xfId="16" xr:uid="{41C50BDF-F4A7-4869-9D96-78E72524F243}"/>
    <cellStyle name="Normal 5" xfId="18" xr:uid="{84F1BC8E-C445-4BE9-96B6-7BF10C69D594}"/>
    <cellStyle name="Normal 5 2" xfId="23" xr:uid="{3C5E499F-DFF3-4870-85AB-27D98854607E}"/>
    <cellStyle name="Normal 5 3" xfId="24" xr:uid="{FC187469-59C9-41F9-9142-04F7A2606345}"/>
    <cellStyle name="Normal 6" xfId="19" xr:uid="{9FD2FFF3-F8B2-494C-9735-205C7F3DCB48}"/>
    <cellStyle name="Normal 6 2" xfId="20" xr:uid="{6FFE678E-1B9D-41FF-A866-BA6A6159E367}"/>
    <cellStyle name="Normal 7" xfId="22" xr:uid="{33701805-6E7E-436E-B75E-84000DB91770}"/>
    <cellStyle name="Normal 7 2" xfId="25" xr:uid="{A1B6B36E-7F62-419F-B1A2-811805637050}"/>
    <cellStyle name="Normal 7 3" xfId="26" xr:uid="{86074A1D-191A-4010-A189-BF969A484B6F}"/>
    <cellStyle name="Normal 8" xfId="21" xr:uid="{80576D6D-8AAE-45E6-B955-5C1FC7FC3F28}"/>
    <cellStyle name="Normal 9" xfId="3" xr:uid="{D3466711-F2B4-4BAA-B3C0-8B72C4C07ED1}"/>
    <cellStyle name="Percent 2" xfId="11" xr:uid="{1542C3CC-27D4-4B8F-BF96-E09A74D67EE0}"/>
    <cellStyle name="Percent 2 2" xfId="17" xr:uid="{D97954C0-CA77-4975-B41D-2540A74007F4}"/>
    <cellStyle name="Percent 3" xfId="10" xr:uid="{649FBFF3-22E5-4C00-B6C5-33163C0AD0A0}"/>
  </cellStyles>
  <dxfs count="142">
    <dxf>
      <fill>
        <patternFill>
          <bgColor theme="8"/>
        </patternFill>
      </fill>
    </dxf>
    <dxf>
      <fill>
        <patternFill>
          <bgColor theme="8"/>
        </patternFill>
      </fill>
    </dxf>
    <dxf>
      <fill>
        <patternFill>
          <bgColor rgb="FF00B050"/>
        </patternFill>
      </fill>
    </dxf>
    <dxf>
      <fill>
        <patternFill>
          <bgColor rgb="FFFFFF00"/>
        </patternFill>
      </fill>
    </dxf>
    <dxf>
      <font>
        <color theme="1"/>
      </font>
      <fill>
        <patternFill>
          <bgColor theme="5"/>
        </patternFill>
      </fill>
    </dxf>
    <dxf>
      <font>
        <color theme="0"/>
      </font>
      <fill>
        <patternFill>
          <bgColor rgb="FFFF0000"/>
        </patternFill>
      </fill>
    </dxf>
    <dxf>
      <fill>
        <patternFill>
          <bgColor theme="8"/>
        </patternFill>
      </fill>
    </dxf>
    <dxf>
      <fill>
        <patternFill>
          <bgColor theme="8"/>
        </patternFill>
      </fill>
    </dxf>
    <dxf>
      <fill>
        <patternFill>
          <bgColor rgb="FF00B050"/>
        </patternFill>
      </fill>
    </dxf>
    <dxf>
      <fill>
        <patternFill>
          <bgColor rgb="FFFFFF00"/>
        </patternFill>
      </fill>
    </dxf>
    <dxf>
      <font>
        <color theme="1"/>
      </font>
      <fill>
        <patternFill>
          <bgColor theme="5"/>
        </patternFill>
      </fill>
    </dxf>
    <dxf>
      <font>
        <color theme="0"/>
      </font>
      <fill>
        <patternFill>
          <bgColor rgb="FFFF0000"/>
        </patternFill>
      </fill>
    </dxf>
    <dxf>
      <fill>
        <patternFill>
          <bgColor theme="8"/>
        </patternFill>
      </fill>
    </dxf>
    <dxf>
      <fill>
        <patternFill>
          <bgColor theme="8"/>
        </patternFill>
      </fill>
    </dxf>
    <dxf>
      <fill>
        <patternFill>
          <bgColor rgb="FF00B050"/>
        </patternFill>
      </fill>
    </dxf>
    <dxf>
      <fill>
        <patternFill>
          <bgColor rgb="FFFFFF00"/>
        </patternFill>
      </fill>
    </dxf>
    <dxf>
      <font>
        <color theme="1"/>
      </font>
      <fill>
        <patternFill>
          <bgColor theme="5"/>
        </patternFill>
      </fill>
    </dxf>
    <dxf>
      <font>
        <color theme="0"/>
      </font>
      <fill>
        <patternFill>
          <bgColor rgb="FFFF0000"/>
        </patternFill>
      </fill>
    </dxf>
    <dxf>
      <fill>
        <patternFill>
          <bgColor theme="8"/>
        </patternFill>
      </fill>
    </dxf>
    <dxf>
      <fill>
        <patternFill>
          <bgColor theme="8"/>
        </patternFill>
      </fill>
    </dxf>
    <dxf>
      <fill>
        <patternFill>
          <bgColor rgb="FF00B050"/>
        </patternFill>
      </fill>
    </dxf>
    <dxf>
      <fill>
        <patternFill>
          <bgColor rgb="FFFFFF00"/>
        </patternFill>
      </fill>
    </dxf>
    <dxf>
      <font>
        <color theme="1"/>
      </font>
      <fill>
        <patternFill>
          <bgColor theme="5"/>
        </patternFill>
      </fill>
    </dxf>
    <dxf>
      <font>
        <color theme="0"/>
      </font>
      <fill>
        <patternFill>
          <bgColor rgb="FFFF0000"/>
        </patternFill>
      </fill>
    </dxf>
    <dxf>
      <fill>
        <patternFill>
          <bgColor theme="8"/>
        </patternFill>
      </fill>
    </dxf>
    <dxf>
      <fill>
        <patternFill>
          <bgColor theme="8"/>
        </patternFill>
      </fill>
    </dxf>
    <dxf>
      <fill>
        <patternFill>
          <bgColor rgb="FF00B050"/>
        </patternFill>
      </fill>
    </dxf>
    <dxf>
      <fill>
        <patternFill>
          <bgColor rgb="FFFFFF00"/>
        </patternFill>
      </fill>
    </dxf>
    <dxf>
      <font>
        <color theme="1"/>
      </font>
      <fill>
        <patternFill>
          <bgColor theme="5"/>
        </patternFill>
      </fill>
    </dxf>
    <dxf>
      <font>
        <color theme="0"/>
      </font>
      <fill>
        <patternFill>
          <bgColor rgb="FFFF0000"/>
        </patternFill>
      </fill>
    </dxf>
    <dxf>
      <fill>
        <patternFill>
          <bgColor theme="8"/>
        </patternFill>
      </fill>
    </dxf>
    <dxf>
      <fill>
        <patternFill>
          <bgColor theme="8"/>
        </patternFill>
      </fill>
    </dxf>
    <dxf>
      <fill>
        <patternFill>
          <bgColor rgb="FF00B050"/>
        </patternFill>
      </fill>
    </dxf>
    <dxf>
      <fill>
        <patternFill>
          <bgColor rgb="FFFFFF00"/>
        </patternFill>
      </fill>
    </dxf>
    <dxf>
      <font>
        <color theme="1"/>
      </font>
      <fill>
        <patternFill>
          <bgColor theme="5"/>
        </patternFill>
      </fill>
    </dxf>
    <dxf>
      <font>
        <color theme="0"/>
      </font>
      <fill>
        <patternFill>
          <bgColor rgb="FFFF0000"/>
        </patternFill>
      </fill>
    </dxf>
    <dxf>
      <fill>
        <patternFill>
          <bgColor theme="8"/>
        </patternFill>
      </fill>
    </dxf>
    <dxf>
      <fill>
        <patternFill>
          <bgColor theme="8"/>
        </patternFill>
      </fill>
    </dxf>
    <dxf>
      <fill>
        <patternFill>
          <bgColor rgb="FF00B050"/>
        </patternFill>
      </fill>
    </dxf>
    <dxf>
      <fill>
        <patternFill>
          <bgColor rgb="FFFFFF00"/>
        </patternFill>
      </fill>
    </dxf>
    <dxf>
      <font>
        <color theme="1"/>
      </font>
      <fill>
        <patternFill>
          <bgColor theme="5"/>
        </patternFill>
      </fill>
    </dxf>
    <dxf>
      <font>
        <color theme="0"/>
      </font>
      <fill>
        <patternFill>
          <bgColor rgb="FFFF0000"/>
        </patternFill>
      </fill>
    </dxf>
    <dxf>
      <fill>
        <patternFill>
          <bgColor theme="8"/>
        </patternFill>
      </fill>
    </dxf>
    <dxf>
      <fill>
        <patternFill>
          <bgColor theme="8"/>
        </patternFill>
      </fill>
    </dxf>
    <dxf>
      <fill>
        <patternFill>
          <bgColor rgb="FF00B050"/>
        </patternFill>
      </fill>
    </dxf>
    <dxf>
      <fill>
        <patternFill>
          <bgColor rgb="FFFFFF00"/>
        </patternFill>
      </fill>
    </dxf>
    <dxf>
      <font>
        <color theme="1"/>
      </font>
      <fill>
        <patternFill>
          <bgColor theme="5"/>
        </patternFill>
      </fill>
    </dxf>
    <dxf>
      <font>
        <color theme="0"/>
      </font>
      <fill>
        <patternFill>
          <bgColor rgb="FFFF0000"/>
        </patternFill>
      </fill>
    </dxf>
    <dxf>
      <fill>
        <patternFill>
          <bgColor theme="8"/>
        </patternFill>
      </fill>
    </dxf>
    <dxf>
      <fill>
        <patternFill>
          <bgColor theme="8"/>
        </patternFill>
      </fill>
    </dxf>
    <dxf>
      <fill>
        <patternFill>
          <bgColor rgb="FF00B050"/>
        </patternFill>
      </fill>
    </dxf>
    <dxf>
      <fill>
        <patternFill>
          <bgColor rgb="FFFFFF00"/>
        </patternFill>
      </fill>
    </dxf>
    <dxf>
      <font>
        <color theme="1"/>
      </font>
      <fill>
        <patternFill>
          <bgColor theme="5"/>
        </patternFill>
      </fill>
    </dxf>
    <dxf>
      <font>
        <color theme="0"/>
      </font>
      <fill>
        <patternFill>
          <bgColor rgb="FFFF0000"/>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
      <fill>
        <patternFill>
          <bgColor theme="3"/>
        </patternFill>
      </fill>
      <border>
        <left style="thin">
          <color theme="0"/>
        </left>
        <right style="thin">
          <color theme="0"/>
        </right>
        <top style="thin">
          <color theme="0"/>
        </top>
        <bottom style="thin">
          <color theme="0"/>
        </bottom>
        <vertical/>
        <horizontal/>
      </border>
    </dxf>
    <dxf>
      <font>
        <color rgb="FF9C0006"/>
      </font>
      <fill>
        <patternFill>
          <bgColor rgb="FFFFC7CE"/>
        </patternFill>
      </fill>
    </dxf>
  </dxfs>
  <tableStyles count="0" defaultTableStyle="TableStyleMedium2" defaultPivotStyle="PivotStyleLight16"/>
  <colors>
    <mruColors>
      <color rgb="FFFFCCCC"/>
      <color rgb="FF03360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theme" Target="theme/theme1.xml"/><Relationship Id="rId5" Type="http://schemas.openxmlformats.org/officeDocument/2006/relationships/externalLink" Target="externalLinks/externalLink1.xml"/><Relationship Id="rId15" Type="http://schemas.openxmlformats.org/officeDocument/2006/relationships/customXml" Target="../customXml/item1.xml"/><Relationship Id="rId10"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r>
              <a:rPr lang="en-GB" b="1" u="sng"/>
              <a:t>Supplier</a:t>
            </a:r>
            <a:r>
              <a:rPr lang="en-GB" b="1" u="sng" baseline="0"/>
              <a:t> Control Effectiveness by Domain</a:t>
            </a:r>
            <a:endParaRPr lang="en-GB" b="1" u="sng"/>
          </a:p>
        </c:rich>
      </c:tx>
      <c:layout>
        <c:manualLayout>
          <c:xMode val="edge"/>
          <c:yMode val="edge"/>
          <c:x val="2.3370743680403594E-2"/>
          <c:y val="1.7741939990332738E-2"/>
        </c:manualLayout>
      </c:layout>
      <c:overlay val="0"/>
      <c:spPr>
        <a:noFill/>
        <a:ln>
          <a:noFill/>
        </a:ln>
        <a:effectLst/>
      </c:spPr>
      <c:txPr>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spPr>
            <a:ln w="28575" cap="rnd">
              <a:solidFill>
                <a:schemeClr val="accent2"/>
              </a:solidFill>
              <a:round/>
            </a:ln>
            <a:effectLst/>
          </c:spPr>
          <c:marker>
            <c:symbol val="none"/>
          </c:marker>
          <c:cat>
            <c:strRef>
              <c:f>Hidden!$K$9:$K$22</c:f>
              <c:strCache>
                <c:ptCount val="14"/>
                <c:pt idx="0">
                  <c:v>Information Security Policies</c:v>
                </c:pt>
                <c:pt idx="1">
                  <c:v>Organisation of Information Security</c:v>
                </c:pt>
                <c:pt idx="2">
                  <c:v>Human Resources</c:v>
                </c:pt>
                <c:pt idx="3">
                  <c:v>Management of Information Assets</c:v>
                </c:pt>
                <c:pt idx="4">
                  <c:v>Access Control</c:v>
                </c:pt>
                <c:pt idx="5">
                  <c:v>Cryptography</c:v>
                </c:pt>
                <c:pt idx="6">
                  <c:v>Physical and Environmental Security </c:v>
                </c:pt>
                <c:pt idx="7">
                  <c:v>Operations Security</c:v>
                </c:pt>
                <c:pt idx="8">
                  <c:v>Communication (Network) Security</c:v>
                </c:pt>
                <c:pt idx="9">
                  <c:v>System Acquisition, Development, &amp; Maintenance </c:v>
                </c:pt>
                <c:pt idx="10">
                  <c:v>Supplier Relationships</c:v>
                </c:pt>
                <c:pt idx="11">
                  <c:v>Information Security Incident Management</c:v>
                </c:pt>
                <c:pt idx="12">
                  <c:v>Information Security Aspects of BCM</c:v>
                </c:pt>
                <c:pt idx="13">
                  <c:v> Compliance</c:v>
                </c:pt>
              </c:strCache>
            </c:strRef>
          </c:cat>
          <c:val>
            <c:numRef>
              <c:f>Hidden!$L$9:$L$22</c:f>
              <c:numCache>
                <c:formatCode>0</c:formatCode>
                <c:ptCount val="14"/>
                <c:pt idx="0">
                  <c:v>50</c:v>
                </c:pt>
                <c:pt idx="1">
                  <c:v>85</c:v>
                </c:pt>
                <c:pt idx="2">
                  <c:v>70.833333333333329</c:v>
                </c:pt>
                <c:pt idx="3">
                  <c:v>100</c:v>
                </c:pt>
                <c:pt idx="4">
                  <c:v>75</c:v>
                </c:pt>
                <c:pt idx="5">
                  <c:v>87.5</c:v>
                </c:pt>
                <c:pt idx="6">
                  <c:v>100</c:v>
                </c:pt>
                <c:pt idx="7">
                  <c:v>89.0625</c:v>
                </c:pt>
                <c:pt idx="8">
                  <c:v>87.5</c:v>
                </c:pt>
                <c:pt idx="9">
                  <c:v>89.583333333333329</c:v>
                </c:pt>
                <c:pt idx="10">
                  <c:v>0</c:v>
                </c:pt>
                <c:pt idx="11">
                  <c:v>77.941176470588232</c:v>
                </c:pt>
                <c:pt idx="12">
                  <c:v>100</c:v>
                </c:pt>
                <c:pt idx="13">
                  <c:v>59.375</c:v>
                </c:pt>
              </c:numCache>
            </c:numRef>
          </c:val>
          <c:extLst>
            <c:ext xmlns:c16="http://schemas.microsoft.com/office/drawing/2014/chart" uri="{C3380CC4-5D6E-409C-BE32-E72D297353CC}">
              <c16:uniqueId val="{00000000-1A8C-4FF7-9109-03FB9B416FB3}"/>
            </c:ext>
          </c:extLst>
        </c:ser>
        <c:dLbls>
          <c:showLegendKey val="0"/>
          <c:showVal val="0"/>
          <c:showCatName val="0"/>
          <c:showSerName val="0"/>
          <c:showPercent val="0"/>
          <c:showBubbleSize val="0"/>
        </c:dLbls>
        <c:axId val="1366878479"/>
        <c:axId val="1366894287"/>
      </c:radarChart>
      <c:catAx>
        <c:axId val="1366878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6894287"/>
        <c:crosses val="autoZero"/>
        <c:auto val="1"/>
        <c:lblAlgn val="ctr"/>
        <c:lblOffset val="100"/>
        <c:noMultiLvlLbl val="0"/>
      </c:catAx>
      <c:valAx>
        <c:axId val="136689428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68784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8694153</xdr:colOff>
      <xdr:row>1</xdr:row>
      <xdr:rowOff>107208</xdr:rowOff>
    </xdr:from>
    <xdr:to>
      <xdr:col>8</xdr:col>
      <xdr:colOff>57199</xdr:colOff>
      <xdr:row>4</xdr:row>
      <xdr:rowOff>202624</xdr:rowOff>
    </xdr:to>
    <xdr:pic>
      <xdr:nvPicPr>
        <xdr:cNvPr id="2" name="Picture 1">
          <a:extLst>
            <a:ext uri="{FF2B5EF4-FFF2-40B4-BE49-F238E27FC236}">
              <a16:creationId xmlns:a16="http://schemas.microsoft.com/office/drawing/2014/main" id="{20288A7E-5668-4A73-BB6C-35C4C706A85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82971" y="315026"/>
          <a:ext cx="3334157" cy="1058884"/>
        </a:xfrm>
        <a:prstGeom prst="rect">
          <a:avLst/>
        </a:prstGeom>
      </xdr:spPr>
    </xdr:pic>
    <xdr:clientData/>
  </xdr:twoCellAnchor>
  <xdr:twoCellAnchor>
    <xdr:from>
      <xdr:col>13</xdr:col>
      <xdr:colOff>3967</xdr:colOff>
      <xdr:row>6</xdr:row>
      <xdr:rowOff>250030</xdr:rowOff>
    </xdr:from>
    <xdr:to>
      <xdr:col>20</xdr:col>
      <xdr:colOff>500062</xdr:colOff>
      <xdr:row>21</xdr:row>
      <xdr:rowOff>238123</xdr:rowOff>
    </xdr:to>
    <xdr:graphicFrame macro="">
      <xdr:nvGraphicFramePr>
        <xdr:cNvPr id="3" name="Chart 2">
          <a:extLst>
            <a:ext uri="{FF2B5EF4-FFF2-40B4-BE49-F238E27FC236}">
              <a16:creationId xmlns:a16="http://schemas.microsoft.com/office/drawing/2014/main" id="{4121D285-7654-4CCB-A43F-DE75CD4CFF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47625</xdr:colOff>
      <xdr:row>2</xdr:row>
      <xdr:rowOff>142875</xdr:rowOff>
    </xdr:from>
    <xdr:to>
      <xdr:col>13</xdr:col>
      <xdr:colOff>678656</xdr:colOff>
      <xdr:row>4</xdr:row>
      <xdr:rowOff>178594</xdr:rowOff>
    </xdr:to>
    <xdr:sp macro="" textlink="">
      <xdr:nvSpPr>
        <xdr:cNvPr id="4" name="Arrow: Right 3">
          <a:extLst>
            <a:ext uri="{FF2B5EF4-FFF2-40B4-BE49-F238E27FC236}">
              <a16:creationId xmlns:a16="http://schemas.microsoft.com/office/drawing/2014/main" id="{0674C69B-8AD7-2243-4D4F-AA7C9BD7D86F}"/>
            </a:ext>
          </a:extLst>
        </xdr:cNvPr>
        <xdr:cNvSpPr/>
      </xdr:nvSpPr>
      <xdr:spPr>
        <a:xfrm rot="10800000">
          <a:off x="17133094" y="666750"/>
          <a:ext cx="904875" cy="65484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192201</xdr:colOff>
      <xdr:row>4</xdr:row>
      <xdr:rowOff>244929</xdr:rowOff>
    </xdr:from>
    <xdr:to>
      <xdr:col>14</xdr:col>
      <xdr:colOff>6803</xdr:colOff>
      <xdr:row>5</xdr:row>
      <xdr:rowOff>593613</xdr:rowOff>
    </xdr:to>
    <xdr:sp macro="" textlink="">
      <xdr:nvSpPr>
        <xdr:cNvPr id="5" name="Arrow: Right 4">
          <a:extLst>
            <a:ext uri="{FF2B5EF4-FFF2-40B4-BE49-F238E27FC236}">
              <a16:creationId xmlns:a16="http://schemas.microsoft.com/office/drawing/2014/main" id="{BC561D46-8737-43F9-99C9-CBE5F3F6AE6D}"/>
            </a:ext>
          </a:extLst>
        </xdr:cNvPr>
        <xdr:cNvSpPr/>
      </xdr:nvSpPr>
      <xdr:spPr>
        <a:xfrm rot="8683597">
          <a:off x="17446058" y="1387929"/>
          <a:ext cx="903174" cy="66164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oponline.sharepoint.com/EPSR%203rd%20Party%20IS%20Questionnaire%20(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twspartnersag200.sharepoint.com/Documents%20and%20Settings/853639/My%20Documents/SHC/Security%20Healthcheck%20v1.4.0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Y:/Documents%20and%20Settings/862498/My%20Documents/Healthcheck/Version%201.3/Release/Security%20Healthcheck%20v1.3%20Releas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69AA3CC7/ISF%20Security%20Healthcheck%20Version%20one%20amended%20CMP%2001.06.05-c.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69AA3CC7/ISF%20Security%20Healthcheck%20Version%20one%20amended%20CMP%2001.06.05-c.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be4you.sharepoint.com/sites/Bpt-Prj-JLR_ICS__SC_Security/Shared%20Documents/General/Work/ITSQ/Security_Supplier_Assurance_Questionnaire_V1.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Page"/>
      <sheetName val="Contents"/>
      <sheetName val="0 - Introduction"/>
      <sheetName val="1 - EPSR Review Profile"/>
      <sheetName val="2 - EPSR Review Summary"/>
      <sheetName val="3 - Maturity and Supplier Risk"/>
      <sheetName val="A1 IS Organisation &amp; Management"/>
      <sheetName val="A2 Asset Management"/>
      <sheetName val="A3 Personnel Security"/>
      <sheetName val="A4 Physical &amp; Environmental Sec"/>
      <sheetName val="A5 Comms &amp; Ops Mgt"/>
      <sheetName val="A6 Access Control"/>
      <sheetName val="A7 Systems Dev &amp; Main Sec"/>
      <sheetName val="A8 IS Incident Mgt"/>
      <sheetName val="A9 Complian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Guidelines"/>
      <sheetName val="Profile"/>
      <sheetName val="Main_Questions"/>
      <sheetName val="Results_of_Healthcheck"/>
      <sheetName val="Results_in_ISO_27002_format"/>
      <sheetName val="Results_in_ISO_17799_format"/>
      <sheetName val="Results_in_FIRM_2005_Format"/>
      <sheetName val="Results_in_COBIT_v4_1_format"/>
      <sheetName val="Calc"/>
      <sheetName val="Results_in_COBIT_v4_format"/>
      <sheetName val="Results_in_PCI_-_DSS_format"/>
      <sheetName val="SOGP_2007_X-ref"/>
      <sheetName val="SOGP_2005_X-ref"/>
      <sheetName val="SHC_&amp;_ISO_27002_X-ref"/>
      <sheetName val="ISO_27002_&amp;_SHC_X-ref"/>
      <sheetName val="SHC_&amp;_ISO_17799-2005_X-ref"/>
      <sheetName val="ISO_17799-2005_&amp;_SHC_X-ref"/>
      <sheetName val="SHC_&amp;_COBIT_v4_1_X-ref"/>
      <sheetName val="COBIT_v4_1_&amp;_SHC_X-ref"/>
      <sheetName val="SHC_&amp;_COBIT_v4_X-ref"/>
      <sheetName val="COBIT_v4_&amp;_SHC_X-ref"/>
      <sheetName val="FIRM_2005_X-ref"/>
      <sheetName val="SHC_&amp;_PCI_DSS_X-ref"/>
      <sheetName val="PCI_DSS_&amp;_SHC_X-ref"/>
      <sheetName val="Main Questions"/>
      <sheetName val="Results of Healthcheck"/>
      <sheetName val="Results in ISO 27002 format"/>
      <sheetName val="Results in ISO 17799 format"/>
      <sheetName val="Results in FIRM 2005 Format"/>
      <sheetName val="Results in COBIT v4.1 format"/>
      <sheetName val="Results in COBIT v4 format"/>
      <sheetName val="Results in PCI - DSS format"/>
      <sheetName val="SOGP 2007 X-ref"/>
      <sheetName val="SOGP 2005 X-ref"/>
      <sheetName val="SHC &amp; ISO 27002 X-ref"/>
      <sheetName val="ISO 27002 &amp; SHC X-ref"/>
      <sheetName val="SHC &amp; ISO 17799-2005 X-ref"/>
      <sheetName val="ISO 17799-2005 &amp; SHC X-ref"/>
      <sheetName val="SHC &amp; COBIT v4.1 X-ref"/>
      <sheetName val="COBIT v4.1 &amp; SHC X-ref"/>
      <sheetName val="SHC &amp; COBIT v4 X-ref"/>
      <sheetName val="COBIT v4 &amp; SHC X-ref"/>
      <sheetName val="FIRM 2005 X-ref"/>
      <sheetName val="SHC &amp; PCI DSS X-ref"/>
      <sheetName val="PCI DSS &amp; SHC X-ref"/>
      <sheetName val="A1 IS Organisation &amp; Management"/>
      <sheetName val="A2 Asset Management"/>
      <sheetName val="A3 Personnel Security"/>
      <sheetName val="A4 Physical &amp; Environmental Sec"/>
      <sheetName val="A5 Comms &amp; Ops Mgt"/>
      <sheetName val="A6 Access Control"/>
      <sheetName val="A7 Systems Dev &amp; Main Sec"/>
      <sheetName val="A8 IS Incident Mgt"/>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Guidelines"/>
      <sheetName val="Profile"/>
      <sheetName val="Main_Questions"/>
      <sheetName val="Results_of_Healthcheck"/>
      <sheetName val="Results_in_ISO_2005_Format"/>
      <sheetName val="Results_as_ISO_2005_Controls"/>
      <sheetName val="Results_in_ISO_2000_Format"/>
      <sheetName val="Results_as_ISO_2000_Controls"/>
      <sheetName val="Results_in_FIRM_1998_Format"/>
      <sheetName val="Results_in_FIRM_2005_Format"/>
      <sheetName val="Results_in_COBIT_v2_Format"/>
      <sheetName val="Results_in_COBIT_v4_Format"/>
      <sheetName val="SOGP_X-ref"/>
      <sheetName val="SHC_&amp;_ISO_17799-2005_X-ref"/>
      <sheetName val="ISO_17799-2005_&amp;_SHC_X-ref"/>
      <sheetName val="SHC_&amp;_ISO_17799_X-ref"/>
      <sheetName val="ISO_17799_&amp;_SHC_X-ref"/>
      <sheetName val="SHC_&amp;_COBIT_v2_X-ref"/>
      <sheetName val="COBIT_v2_&amp;_SHC_X-ref"/>
      <sheetName val="SHC_&amp;_COBIT_v4_X-ref"/>
      <sheetName val="COBIT_v4_&amp;_SHC_X-ref"/>
      <sheetName val="FIRM_1998_X-ref"/>
      <sheetName val="FIRM_2005_X-ref"/>
      <sheetName val="Calc"/>
      <sheetName val="Main Questions"/>
      <sheetName val="Results of Healthcheck"/>
      <sheetName val="Results in ISO 2005 Format"/>
      <sheetName val="Results as ISO 2005 Controls"/>
      <sheetName val="Results in ISO 2000 Format"/>
      <sheetName val="Results as ISO 2000 Controls"/>
      <sheetName val="Results in FIRM 1998 Format"/>
      <sheetName val="Results in FIRM 2005 Format"/>
      <sheetName val="Results in COBIT v2 Format"/>
      <sheetName val="Results in COBIT v4 Format"/>
      <sheetName val="SOGP X-ref"/>
      <sheetName val="SHC &amp; ISO 17799-2005 X-ref"/>
      <sheetName val="ISO 17799-2005 &amp; SHC X-ref"/>
      <sheetName val="SHC &amp; ISO 17799 X-ref"/>
      <sheetName val="ISO 17799 &amp; SHC X-ref"/>
      <sheetName val="SHC &amp; COBIT v2 X-ref"/>
      <sheetName val="COBIT v2 &amp; SHC X-ref"/>
      <sheetName val="SHC &amp; COBIT v4 X-ref"/>
      <sheetName val="COBIT v4 &amp; SHC X-ref"/>
      <sheetName val="FIRM 1998 X-ref"/>
      <sheetName val="FIRM 2005 X-ref"/>
      <sheetName val="Main_Questions1"/>
      <sheetName val="Results_of_Healthcheck1"/>
      <sheetName val="Results_in_ISO_2005_Format1"/>
      <sheetName val="Results_as_ISO_2005_Controls1"/>
      <sheetName val="Results_in_ISO_2000_Format1"/>
      <sheetName val="Results_as_ISO_2000_Controls1"/>
      <sheetName val="Results_in_FIRM_1998_Format1"/>
      <sheetName val="Results_in_FIRM_2005_Format1"/>
      <sheetName val="Results_in_COBIT_v2_Format1"/>
      <sheetName val="Results_in_COBIT_v4_Format1"/>
      <sheetName val="SOGP_X-ref1"/>
      <sheetName val="SHC_&amp;_ISO_17799-2005_X-ref1"/>
      <sheetName val="ISO_17799-2005_&amp;_SHC_X-ref1"/>
      <sheetName val="SHC_&amp;_ISO_17799_X-ref1"/>
      <sheetName val="ISO_17799_&amp;_SHC_X-ref1"/>
      <sheetName val="SHC_&amp;_COBIT_v2_X-ref1"/>
      <sheetName val="COBIT_v2_&amp;_SHC_X-ref1"/>
      <sheetName val="SHC_&amp;_COBIT_v4_X-ref1"/>
      <sheetName val="COBIT_v4_&amp;_SHC_X-ref1"/>
      <sheetName val="FIRM_1998_X-ref1"/>
      <sheetName val="FIRM_2005_X-ref1"/>
      <sheetName val="Main_Questions2"/>
      <sheetName val="Results_of_Healthcheck2"/>
      <sheetName val="Results_in_ISO_2005_Format2"/>
      <sheetName val="Results_as_ISO_2005_Controls2"/>
      <sheetName val="Results_in_ISO_2000_Format2"/>
      <sheetName val="Results_as_ISO_2000_Controls2"/>
      <sheetName val="Results_in_FIRM_1998_Format2"/>
      <sheetName val="Results_in_FIRM_2005_Format2"/>
      <sheetName val="Results_in_COBIT_v2_Format2"/>
      <sheetName val="Results_in_COBIT_v4_Format2"/>
      <sheetName val="SOGP_X-ref2"/>
      <sheetName val="SHC_&amp;_ISO_17799-2005_X-ref2"/>
      <sheetName val="ISO_17799-2005_&amp;_SHC_X-ref2"/>
      <sheetName val="SHC_&amp;_ISO_17799_X-ref2"/>
      <sheetName val="ISO_17799_&amp;_SHC_X-ref2"/>
      <sheetName val="SHC_&amp;_COBIT_v2_X-ref2"/>
      <sheetName val="COBIT_v2_&amp;_SHC_X-ref2"/>
      <sheetName val="SHC_&amp;_COBIT_v4_X-ref2"/>
      <sheetName val="COBIT_v4_&amp;_SHC_X-ref2"/>
      <sheetName val="FIRM_1998_X-ref2"/>
      <sheetName val="FIRM_2005_X-ref2"/>
      <sheetName val="Main_Questions3"/>
      <sheetName val="Results_of_Healthcheck3"/>
      <sheetName val="Results_in_ISO_2005_Format3"/>
      <sheetName val="Results_as_ISO_2005_Controls3"/>
      <sheetName val="Results_in_ISO_2000_Format3"/>
      <sheetName val="Results_as_ISO_2000_Controls3"/>
      <sheetName val="Results_in_FIRM_1998_Format3"/>
      <sheetName val="Results_in_FIRM_2005_Format3"/>
      <sheetName val="Results_in_COBIT_v2_Format3"/>
      <sheetName val="Results_in_COBIT_v4_Format3"/>
      <sheetName val="SOGP_X-ref3"/>
      <sheetName val="SHC_&amp;_ISO_17799-2005_X-ref3"/>
      <sheetName val="ISO_17799-2005_&amp;_SHC_X-ref3"/>
      <sheetName val="SHC_&amp;_ISO_17799_X-ref3"/>
      <sheetName val="ISO_17799_&amp;_SHC_X-ref3"/>
      <sheetName val="SHC_&amp;_COBIT_v2_X-ref3"/>
      <sheetName val="COBIT_v2_&amp;_SHC_X-ref3"/>
      <sheetName val="SHC_&amp;_COBIT_v4_X-ref3"/>
      <sheetName val="COBIT_v4_&amp;_SHC_X-ref3"/>
      <sheetName val="FIRM_1998_X-ref3"/>
      <sheetName val="FIRM_2005_X-ref3"/>
    </sheetNames>
    <sheetDataSet>
      <sheetData sheetId="0" refreshError="1"/>
      <sheetData sheetId="1" refreshError="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Guidelines"/>
      <sheetName val="Profile"/>
      <sheetName val="Main_Questions"/>
      <sheetName val="SOGP_X-ref"/>
      <sheetName val="SHC_&amp;_ISO_17799_X-ref"/>
      <sheetName val="ISO_17799_&amp;_SHC_X-ref"/>
      <sheetName val="FIRM_X-ref"/>
      <sheetName val="Sheet2"/>
      <sheetName val="Sheet1"/>
      <sheetName val="Results_of_Healthcheck"/>
      <sheetName val="Results_in_ISO_Format"/>
      <sheetName val="Results_in_FIRM_Format"/>
      <sheetName val="Results_in_ISO_Control_Format"/>
      <sheetName val="Cal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
    </sheetNames>
    <sheetDataSet>
      <sheetData sheetId="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Introductory_questions"/>
      <sheetName val="Risk_analysis"/>
      <sheetName val="1_Information_Systems"/>
      <sheetName val="2_Physical_and_Environmental"/>
      <sheetName val="3_Personnel_and_HR"/>
      <sheetName val="4_Organisation"/>
      <sheetName val="5_Security_Policy"/>
      <sheetName val="6_Asset_Management"/>
      <sheetName val="7_Incident_Management"/>
      <sheetName val="8_Business_Continuity_"/>
      <sheetName val="9_Compliance"/>
      <sheetName val="10_GDPR_(Guidance)"/>
      <sheetName val="10a_GDPR"/>
      <sheetName val="Drop_downs"/>
      <sheetName val="Calculator"/>
      <sheetName val="Cover sheet"/>
      <sheetName val="Introductory questions"/>
      <sheetName val="Risk analysis"/>
      <sheetName val="1 Information Systems"/>
      <sheetName val="2 Physical and Environmental"/>
      <sheetName val="3 Personnel and HR"/>
      <sheetName val="4 Organisation"/>
      <sheetName val="5 Security Policy"/>
      <sheetName val="6 Asset Management"/>
      <sheetName val="7 Incident Management"/>
      <sheetName val="8 Business Continuity "/>
      <sheetName val="9 Compliance"/>
      <sheetName val="10 GDPR (Guidance)"/>
      <sheetName val="10a GDPR"/>
      <sheetName val="Drop downs"/>
      <sheetName val="Cover_sheet1"/>
      <sheetName val="Introductory_questions1"/>
      <sheetName val="Risk_analysis1"/>
      <sheetName val="1_Information_Systems1"/>
      <sheetName val="2_Physical_and_Environmental1"/>
      <sheetName val="3_Personnel_and_HR1"/>
      <sheetName val="4_Organisation1"/>
      <sheetName val="5_Security_Policy1"/>
      <sheetName val="6_Asset_Management1"/>
      <sheetName val="7_Incident_Management1"/>
      <sheetName val="8_Business_Continuity_1"/>
      <sheetName val="9_Compliance1"/>
      <sheetName val="10_GDPR_(Guidance)1"/>
      <sheetName val="10a_GDPR1"/>
      <sheetName val="Drop_downs1"/>
      <sheetName val="Cover_sheet2"/>
      <sheetName val="Introductory_questions2"/>
      <sheetName val="Risk_analysis2"/>
      <sheetName val="1_Information_Systems2"/>
      <sheetName val="2_Physical_and_Environmental2"/>
      <sheetName val="3_Personnel_and_HR2"/>
      <sheetName val="4_Organisation2"/>
      <sheetName val="5_Security_Policy2"/>
      <sheetName val="6_Asset_Management2"/>
      <sheetName val="7_Incident_Management2"/>
      <sheetName val="8_Business_Continuity_2"/>
      <sheetName val="9_Compliance2"/>
      <sheetName val="10_GDPR_(Guidance)2"/>
      <sheetName val="10a_GDPR2"/>
      <sheetName val="Drop_downs2"/>
      <sheetName val="Cover_sheet3"/>
      <sheetName val="Introductory_questions3"/>
      <sheetName val="Risk_analysis3"/>
      <sheetName val="1_Information_Systems3"/>
      <sheetName val="2_Physical_and_Environmental3"/>
      <sheetName val="3_Personnel_and_HR3"/>
      <sheetName val="4_Organisation3"/>
      <sheetName val="5_Security_Policy3"/>
      <sheetName val="6_Asset_Management3"/>
      <sheetName val="7_Incident_Management3"/>
      <sheetName val="8_Business_Continuity_3"/>
      <sheetName val="9_Compliance3"/>
      <sheetName val="10_GDPR_(Guidance)3"/>
      <sheetName val="10a_GDPR3"/>
      <sheetName val="Drop_downs3"/>
      <sheetName val="scor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65157-9F3F-4B39-91E7-523AA8DB41BF}">
  <sheetPr codeName="Sheet1">
    <tabColor theme="9" tint="-0.499984740745262"/>
  </sheetPr>
  <dimension ref="B3:F31"/>
  <sheetViews>
    <sheetView topLeftCell="A15" zoomScale="120" zoomScaleNormal="120" workbookViewId="0">
      <selection activeCell="C15" sqref="C15"/>
    </sheetView>
  </sheetViews>
  <sheetFormatPr baseColWidth="10" defaultColWidth="9" defaultRowHeight="15" x14ac:dyDescent="0.2"/>
  <cols>
    <col min="1" max="1" width="9" style="78"/>
    <col min="2" max="2" width="15.6640625" style="78" customWidth="1"/>
    <col min="3" max="3" width="73.6640625" style="78" customWidth="1"/>
    <col min="4" max="4" width="15" style="78" customWidth="1"/>
    <col min="5" max="5" width="9.1640625" style="78" customWidth="1"/>
    <col min="6" max="16384" width="9" style="78"/>
  </cols>
  <sheetData>
    <row r="3" spans="2:6" ht="31" x14ac:dyDescent="0.2">
      <c r="B3" s="77" t="s">
        <v>0</v>
      </c>
      <c r="C3" s="77"/>
      <c r="D3" s="77"/>
      <c r="E3" s="77"/>
      <c r="F3" s="77"/>
    </row>
    <row r="4" spans="2:6" x14ac:dyDescent="0.2">
      <c r="B4" s="84"/>
      <c r="C4" s="85"/>
      <c r="D4" s="85"/>
      <c r="E4" s="85"/>
    </row>
    <row r="5" spans="2:6" ht="25" thickBot="1" x14ac:dyDescent="0.25">
      <c r="B5" s="79" t="s">
        <v>1</v>
      </c>
      <c r="C5" s="79"/>
      <c r="D5" s="79"/>
      <c r="E5" s="79"/>
      <c r="F5" s="79"/>
    </row>
    <row r="6" spans="2:6" ht="16" thickBot="1" x14ac:dyDescent="0.25">
      <c r="B6" s="86" t="s">
        <v>2</v>
      </c>
      <c r="C6" s="87" t="s">
        <v>3</v>
      </c>
      <c r="D6" s="87" t="s">
        <v>4</v>
      </c>
      <c r="E6" s="87" t="s">
        <v>5</v>
      </c>
    </row>
    <row r="7" spans="2:6" ht="16" thickBot="1" x14ac:dyDescent="0.25">
      <c r="B7" s="95">
        <v>0.1</v>
      </c>
      <c r="C7" s="96" t="s">
        <v>6</v>
      </c>
      <c r="D7" s="96" t="s">
        <v>7</v>
      </c>
      <c r="E7" s="97">
        <v>44606</v>
      </c>
    </row>
    <row r="8" spans="2:6" ht="16" thickBot="1" x14ac:dyDescent="0.25">
      <c r="B8" s="98">
        <v>1</v>
      </c>
      <c r="C8" s="96" t="s">
        <v>8</v>
      </c>
      <c r="D8" s="96" t="s">
        <v>9</v>
      </c>
      <c r="E8" s="97">
        <v>44696</v>
      </c>
    </row>
    <row r="9" spans="2:6" ht="16" thickBot="1" x14ac:dyDescent="0.25">
      <c r="B9" s="98">
        <v>1.1000000000000001</v>
      </c>
      <c r="C9" s="96" t="s">
        <v>10</v>
      </c>
      <c r="D9" s="96" t="s">
        <v>7</v>
      </c>
      <c r="E9" s="97">
        <v>44720</v>
      </c>
    </row>
    <row r="10" spans="2:6" ht="16" thickBot="1" x14ac:dyDescent="0.25">
      <c r="B10" s="98">
        <v>1.2</v>
      </c>
      <c r="C10" s="96" t="s">
        <v>11</v>
      </c>
      <c r="D10" s="96" t="s">
        <v>7</v>
      </c>
      <c r="E10" s="97">
        <v>44720</v>
      </c>
    </row>
    <row r="11" spans="2:6" ht="16" thickBot="1" x14ac:dyDescent="0.25">
      <c r="B11" s="98">
        <v>1.3</v>
      </c>
      <c r="C11" s="96" t="s">
        <v>12</v>
      </c>
      <c r="D11" s="96" t="s">
        <v>7</v>
      </c>
      <c r="E11" s="97">
        <v>44725</v>
      </c>
    </row>
    <row r="12" spans="2:6" ht="16" thickBot="1" x14ac:dyDescent="0.25">
      <c r="B12" s="88">
        <v>1.4</v>
      </c>
      <c r="C12" s="89" t="s">
        <v>13</v>
      </c>
      <c r="D12" s="89" t="s">
        <v>7</v>
      </c>
      <c r="E12" s="90">
        <v>44741</v>
      </c>
    </row>
    <row r="13" spans="2:6" ht="31" thickBot="1" x14ac:dyDescent="0.25">
      <c r="B13" s="88">
        <v>1.4</v>
      </c>
      <c r="C13" s="89" t="s">
        <v>14</v>
      </c>
      <c r="D13" s="89" t="s">
        <v>7</v>
      </c>
      <c r="E13" s="90">
        <v>44761</v>
      </c>
    </row>
    <row r="14" spans="2:6" ht="181" thickBot="1" x14ac:dyDescent="0.25">
      <c r="B14" s="88">
        <v>2</v>
      </c>
      <c r="C14" s="83" t="s">
        <v>15</v>
      </c>
      <c r="D14" s="89" t="s">
        <v>9</v>
      </c>
      <c r="E14" s="90">
        <v>44776</v>
      </c>
    </row>
    <row r="15" spans="2:6" ht="409.5" customHeight="1" thickBot="1" x14ac:dyDescent="0.25">
      <c r="B15" s="88">
        <v>2.1</v>
      </c>
      <c r="C15" s="83" t="s">
        <v>16</v>
      </c>
      <c r="D15" s="89" t="s">
        <v>9</v>
      </c>
      <c r="E15" s="90">
        <v>44942</v>
      </c>
    </row>
    <row r="16" spans="2:6" ht="16" thickBot="1" x14ac:dyDescent="0.25">
      <c r="B16" s="88"/>
      <c r="C16" s="83"/>
      <c r="D16" s="89"/>
      <c r="E16" s="90"/>
    </row>
    <row r="17" spans="2:5" x14ac:dyDescent="0.2">
      <c r="B17" s="91"/>
      <c r="C17" s="91"/>
      <c r="D17" s="91"/>
      <c r="E17" s="91"/>
    </row>
    <row r="18" spans="2:5" x14ac:dyDescent="0.2">
      <c r="B18" s="91"/>
      <c r="C18" s="91"/>
      <c r="D18" s="91"/>
      <c r="E18" s="91"/>
    </row>
    <row r="19" spans="2:5" x14ac:dyDescent="0.2">
      <c r="B19" s="92"/>
      <c r="C19" s="91"/>
      <c r="D19" s="91"/>
      <c r="E19" s="91"/>
    </row>
    <row r="20" spans="2:5" ht="24" x14ac:dyDescent="0.2">
      <c r="B20" s="79" t="s">
        <v>17</v>
      </c>
      <c r="C20" s="79"/>
      <c r="D20" s="91"/>
      <c r="E20" s="91"/>
    </row>
    <row r="21" spans="2:5" ht="16" thickBot="1" x14ac:dyDescent="0.25">
      <c r="B21" s="80" t="s">
        <v>18</v>
      </c>
      <c r="C21" s="80"/>
      <c r="D21" s="91"/>
      <c r="E21" s="91"/>
    </row>
    <row r="22" spans="2:5" ht="16" thickBot="1" x14ac:dyDescent="0.25">
      <c r="B22" s="86" t="s">
        <v>19</v>
      </c>
      <c r="C22" s="93" t="s">
        <v>20</v>
      </c>
      <c r="D22" s="94" t="s">
        <v>21</v>
      </c>
      <c r="E22" s="94"/>
    </row>
    <row r="23" spans="2:5" ht="16" thickBot="1" x14ac:dyDescent="0.25">
      <c r="B23" s="81" t="s">
        <v>22</v>
      </c>
      <c r="C23" s="83" t="s">
        <v>23</v>
      </c>
      <c r="D23" s="83" t="s">
        <v>24</v>
      </c>
      <c r="E23" s="90">
        <v>44942</v>
      </c>
    </row>
    <row r="24" spans="2:5" ht="16" thickBot="1" x14ac:dyDescent="0.25">
      <c r="B24" s="81" t="s">
        <v>25</v>
      </c>
      <c r="C24" s="83" t="s">
        <v>23</v>
      </c>
      <c r="D24" s="83" t="s">
        <v>24</v>
      </c>
      <c r="E24" s="90">
        <v>44942</v>
      </c>
    </row>
    <row r="25" spans="2:5" x14ac:dyDescent="0.2">
      <c r="B25" s="92"/>
      <c r="C25" s="91"/>
      <c r="D25" s="91"/>
      <c r="E25" s="91"/>
    </row>
    <row r="26" spans="2:5" ht="25" thickBot="1" x14ac:dyDescent="0.25">
      <c r="B26" s="151" t="s">
        <v>26</v>
      </c>
      <c r="C26" s="151"/>
      <c r="D26" s="91"/>
      <c r="E26" s="91"/>
    </row>
    <row r="27" spans="2:5" ht="16" thickBot="1" x14ac:dyDescent="0.25">
      <c r="B27" s="86" t="s">
        <v>27</v>
      </c>
      <c r="C27" s="152" t="s">
        <v>20</v>
      </c>
      <c r="D27" s="153"/>
      <c r="E27" s="153"/>
    </row>
    <row r="28" spans="2:5" ht="16" thickBot="1" x14ac:dyDescent="0.25">
      <c r="B28" s="81" t="s">
        <v>28</v>
      </c>
      <c r="C28" s="83" t="s">
        <v>29</v>
      </c>
      <c r="D28" s="83" t="s">
        <v>30</v>
      </c>
      <c r="E28" s="90"/>
    </row>
    <row r="29" spans="2:5" x14ac:dyDescent="0.2">
      <c r="B29" s="92"/>
      <c r="C29" s="91"/>
      <c r="D29" s="91"/>
      <c r="E29" s="91"/>
    </row>
    <row r="30" spans="2:5" ht="31.5" customHeight="1" thickBot="1" x14ac:dyDescent="0.25">
      <c r="B30" s="154" t="s">
        <v>31</v>
      </c>
      <c r="C30" s="154"/>
    </row>
    <row r="31" spans="2:5" ht="70.5" customHeight="1" thickBot="1" x14ac:dyDescent="0.25">
      <c r="B31" s="155" t="s">
        <v>32</v>
      </c>
      <c r="C31" s="155"/>
      <c r="D31" s="99" t="s">
        <v>33</v>
      </c>
      <c r="E31" s="100">
        <v>45307</v>
      </c>
    </row>
  </sheetData>
  <mergeCells count="4">
    <mergeCell ref="B26:C26"/>
    <mergeCell ref="C27:E27"/>
    <mergeCell ref="B30:C30"/>
    <mergeCell ref="B31:C3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2787C-F6FC-3448-B8C6-A09BE377DB5C}">
  <sheetPr codeName="Sheet6"/>
  <dimension ref="A1:G179"/>
  <sheetViews>
    <sheetView showGridLines="0" tabSelected="1" zoomScaleNormal="100" workbookViewId="0">
      <pane xSplit="1" ySplit="2" topLeftCell="B50" activePane="bottomRight" state="frozen"/>
      <selection pane="topRight" activeCell="B1" sqref="B1"/>
      <selection pane="bottomLeft" activeCell="A7" sqref="A7"/>
      <selection pane="bottomRight" activeCell="E11" sqref="E11"/>
    </sheetView>
  </sheetViews>
  <sheetFormatPr baseColWidth="10" defaultColWidth="8.83203125" defaultRowHeight="16" outlineLevelRow="1" x14ac:dyDescent="0.2"/>
  <cols>
    <col min="1" max="1" width="3.5" style="24" customWidth="1"/>
    <col min="2" max="2" width="4.1640625" style="25" bestFit="1" customWidth="1"/>
    <col min="3" max="3" width="124.33203125" style="2" customWidth="1"/>
    <col min="4" max="4" width="16.6640625" style="8" customWidth="1"/>
    <col min="5" max="5" width="62.33203125" customWidth="1"/>
    <col min="6" max="6" width="2.6640625" customWidth="1"/>
  </cols>
  <sheetData>
    <row r="1" spans="2:5" ht="3.75" customHeight="1" x14ac:dyDescent="0.2"/>
    <row r="2" spans="2:5" ht="6.75" customHeight="1" thickBot="1" x14ac:dyDescent="0.25"/>
    <row r="3" spans="2:5" ht="25" customHeight="1" thickBot="1" x14ac:dyDescent="0.25">
      <c r="B3" s="156" t="s">
        <v>40</v>
      </c>
      <c r="C3" s="157"/>
      <c r="D3" s="158"/>
      <c r="E3" s="140"/>
    </row>
    <row r="4" spans="2:5" ht="25" customHeight="1" outlineLevel="1" x14ac:dyDescent="0.2">
      <c r="B4" s="29">
        <v>1</v>
      </c>
      <c r="C4" s="145" t="s">
        <v>41</v>
      </c>
      <c r="D4" s="82" t="s">
        <v>42</v>
      </c>
      <c r="E4" s="142" t="s">
        <v>43</v>
      </c>
    </row>
    <row r="5" spans="2:5" ht="25" customHeight="1" outlineLevel="1" x14ac:dyDescent="0.2">
      <c r="B5" s="22">
        <v>2</v>
      </c>
      <c r="C5" s="146" t="s">
        <v>44</v>
      </c>
      <c r="D5" s="82" t="s">
        <v>42</v>
      </c>
      <c r="E5" s="142" t="s">
        <v>45</v>
      </c>
    </row>
    <row r="6" spans="2:5" ht="25" customHeight="1" outlineLevel="1" x14ac:dyDescent="0.2">
      <c r="B6" s="22">
        <v>3</v>
      </c>
      <c r="C6" s="146" t="s">
        <v>46</v>
      </c>
      <c r="D6" s="82" t="s">
        <v>42</v>
      </c>
      <c r="E6" s="142" t="s">
        <v>45</v>
      </c>
    </row>
    <row r="7" spans="2:5" ht="25" customHeight="1" outlineLevel="1" x14ac:dyDescent="0.2">
      <c r="B7" s="22">
        <v>4</v>
      </c>
      <c r="C7" s="146" t="s">
        <v>47</v>
      </c>
      <c r="D7" s="82" t="s">
        <v>42</v>
      </c>
      <c r="E7" s="142" t="s">
        <v>45</v>
      </c>
    </row>
    <row r="8" spans="2:5" ht="25" customHeight="1" outlineLevel="1" x14ac:dyDescent="0.2">
      <c r="B8" s="22">
        <v>5</v>
      </c>
      <c r="C8" s="146" t="s">
        <v>48</v>
      </c>
      <c r="D8" s="82" t="s">
        <v>42</v>
      </c>
      <c r="E8" s="142" t="s">
        <v>45</v>
      </c>
    </row>
    <row r="9" spans="2:5" ht="25" customHeight="1" outlineLevel="1" x14ac:dyDescent="0.2">
      <c r="B9" s="22">
        <v>6</v>
      </c>
      <c r="C9" s="146" t="s">
        <v>49</v>
      </c>
      <c r="D9" s="82" t="s">
        <v>42</v>
      </c>
      <c r="E9" s="142" t="s">
        <v>45</v>
      </c>
    </row>
    <row r="10" spans="2:5" ht="25" customHeight="1" outlineLevel="1" thickBot="1" x14ac:dyDescent="0.25">
      <c r="B10" s="23">
        <v>7</v>
      </c>
      <c r="C10" s="147" t="s">
        <v>50</v>
      </c>
      <c r="D10" s="82" t="s">
        <v>42</v>
      </c>
      <c r="E10" s="143" t="s">
        <v>45</v>
      </c>
    </row>
    <row r="11" spans="2:5" ht="25" customHeight="1" thickBot="1" x14ac:dyDescent="0.25">
      <c r="B11" s="156" t="s">
        <v>51</v>
      </c>
      <c r="C11" s="157" t="s">
        <v>51</v>
      </c>
      <c r="D11" s="158"/>
      <c r="E11" s="140"/>
    </row>
    <row r="12" spans="2:5" ht="25" customHeight="1" outlineLevel="1" x14ac:dyDescent="0.2">
      <c r="B12" s="31">
        <v>8</v>
      </c>
      <c r="C12" s="148" t="s">
        <v>52</v>
      </c>
      <c r="D12" s="82" t="s">
        <v>42</v>
      </c>
      <c r="E12" s="142" t="s">
        <v>53</v>
      </c>
    </row>
    <row r="13" spans="2:5" ht="25" customHeight="1" outlineLevel="1" x14ac:dyDescent="0.2">
      <c r="B13" s="22">
        <v>9</v>
      </c>
      <c r="C13" s="146" t="s">
        <v>54</v>
      </c>
      <c r="D13" s="82" t="s">
        <v>55</v>
      </c>
      <c r="E13" s="142" t="s">
        <v>56</v>
      </c>
    </row>
    <row r="14" spans="2:5" ht="25" customHeight="1" outlineLevel="1" x14ac:dyDescent="0.2">
      <c r="B14" s="22">
        <v>10</v>
      </c>
      <c r="C14" s="146" t="s">
        <v>57</v>
      </c>
      <c r="D14" s="82" t="s">
        <v>58</v>
      </c>
      <c r="E14" s="142" t="s">
        <v>59</v>
      </c>
    </row>
    <row r="15" spans="2:5" ht="25" customHeight="1" outlineLevel="1" x14ac:dyDescent="0.2">
      <c r="B15" s="22">
        <v>11</v>
      </c>
      <c r="C15" s="146" t="s">
        <v>60</v>
      </c>
      <c r="D15" s="82" t="s">
        <v>61</v>
      </c>
      <c r="E15" s="142" t="s">
        <v>62</v>
      </c>
    </row>
    <row r="16" spans="2:5" ht="25" customHeight="1" outlineLevel="1" x14ac:dyDescent="0.2">
      <c r="B16" s="22">
        <v>12</v>
      </c>
      <c r="C16" s="146" t="s">
        <v>63</v>
      </c>
      <c r="D16" s="82" t="s">
        <v>58</v>
      </c>
      <c r="E16" s="142" t="s">
        <v>64</v>
      </c>
    </row>
    <row r="17" spans="2:5" ht="25" customHeight="1" outlineLevel="1" x14ac:dyDescent="0.2">
      <c r="B17" s="22">
        <v>13</v>
      </c>
      <c r="C17" s="146" t="s">
        <v>65</v>
      </c>
      <c r="D17" s="82" t="s">
        <v>61</v>
      </c>
      <c r="E17" s="142" t="s">
        <v>66</v>
      </c>
    </row>
    <row r="18" spans="2:5" ht="25" customHeight="1" outlineLevel="1" thickBot="1" x14ac:dyDescent="0.25">
      <c r="B18" s="23">
        <v>14</v>
      </c>
      <c r="C18" s="147" t="s">
        <v>67</v>
      </c>
      <c r="D18" s="82" t="s">
        <v>61</v>
      </c>
      <c r="E18" s="142" t="s">
        <v>68</v>
      </c>
    </row>
    <row r="19" spans="2:5" ht="25" customHeight="1" thickBot="1" x14ac:dyDescent="0.25">
      <c r="B19" s="156" t="s">
        <v>69</v>
      </c>
      <c r="C19" s="157"/>
      <c r="D19" s="158"/>
      <c r="E19" s="140"/>
    </row>
    <row r="20" spans="2:5" ht="25" customHeight="1" outlineLevel="1" x14ac:dyDescent="0.2">
      <c r="B20" s="31">
        <v>15</v>
      </c>
      <c r="C20" s="148" t="s">
        <v>70</v>
      </c>
      <c r="D20" s="82" t="s">
        <v>61</v>
      </c>
      <c r="E20" s="142" t="s">
        <v>71</v>
      </c>
    </row>
    <row r="21" spans="2:5" ht="25" customHeight="1" outlineLevel="1" x14ac:dyDescent="0.2">
      <c r="B21" s="22">
        <v>16</v>
      </c>
      <c r="C21" s="146" t="s">
        <v>72</v>
      </c>
      <c r="D21" s="82" t="s">
        <v>61</v>
      </c>
      <c r="E21" s="142" t="s">
        <v>73</v>
      </c>
    </row>
    <row r="22" spans="2:5" ht="25" customHeight="1" outlineLevel="1" x14ac:dyDescent="0.2">
      <c r="B22" s="22">
        <v>17</v>
      </c>
      <c r="C22" s="146" t="s">
        <v>74</v>
      </c>
      <c r="D22" s="82" t="s">
        <v>61</v>
      </c>
      <c r="E22" s="142"/>
    </row>
    <row r="23" spans="2:5" ht="25" customHeight="1" outlineLevel="1" x14ac:dyDescent="0.2">
      <c r="B23" s="22">
        <v>18</v>
      </c>
      <c r="C23" s="146" t="s">
        <v>75</v>
      </c>
      <c r="D23" s="82" t="s">
        <v>42</v>
      </c>
      <c r="E23" s="142" t="s">
        <v>76</v>
      </c>
    </row>
    <row r="24" spans="2:5" ht="25" customHeight="1" outlineLevel="1" x14ac:dyDescent="0.2">
      <c r="B24" s="22">
        <v>19</v>
      </c>
      <c r="C24" s="146" t="s">
        <v>77</v>
      </c>
      <c r="D24" s="82" t="s">
        <v>42</v>
      </c>
      <c r="E24" s="142" t="s">
        <v>78</v>
      </c>
    </row>
    <row r="25" spans="2:5" ht="25" customHeight="1" outlineLevel="1" x14ac:dyDescent="0.2">
      <c r="B25" s="22">
        <v>20</v>
      </c>
      <c r="C25" s="146" t="s">
        <v>79</v>
      </c>
      <c r="D25" s="82" t="s">
        <v>42</v>
      </c>
      <c r="E25" s="142" t="s">
        <v>78</v>
      </c>
    </row>
    <row r="26" spans="2:5" ht="25" customHeight="1" outlineLevel="1" x14ac:dyDescent="0.2">
      <c r="B26" s="22">
        <v>21</v>
      </c>
      <c r="C26" s="146" t="s">
        <v>80</v>
      </c>
      <c r="D26" s="82" t="s">
        <v>81</v>
      </c>
      <c r="E26" s="142" t="s">
        <v>82</v>
      </c>
    </row>
    <row r="27" spans="2:5" ht="25" customHeight="1" outlineLevel="1" x14ac:dyDescent="0.2">
      <c r="B27" s="22">
        <v>22</v>
      </c>
      <c r="C27" s="146" t="s">
        <v>83</v>
      </c>
      <c r="D27" s="82" t="s">
        <v>61</v>
      </c>
      <c r="E27" s="142" t="s">
        <v>84</v>
      </c>
    </row>
    <row r="28" spans="2:5" ht="25" customHeight="1" outlineLevel="1" x14ac:dyDescent="0.2">
      <c r="B28" s="22">
        <v>23</v>
      </c>
      <c r="C28" s="146" t="s">
        <v>85</v>
      </c>
      <c r="D28" s="82" t="s">
        <v>42</v>
      </c>
      <c r="E28" s="142" t="s">
        <v>86</v>
      </c>
    </row>
    <row r="29" spans="2:5" ht="25" customHeight="1" outlineLevel="1" x14ac:dyDescent="0.2">
      <c r="B29" s="22">
        <v>24</v>
      </c>
      <c r="C29" s="146" t="s">
        <v>87</v>
      </c>
      <c r="D29" s="82" t="s">
        <v>61</v>
      </c>
      <c r="E29" s="142"/>
    </row>
    <row r="30" spans="2:5" ht="25" customHeight="1" outlineLevel="1" x14ac:dyDescent="0.2">
      <c r="B30" s="22">
        <v>25</v>
      </c>
      <c r="C30" s="146" t="s">
        <v>88</v>
      </c>
      <c r="D30" s="82" t="s">
        <v>61</v>
      </c>
      <c r="E30" s="142" t="s">
        <v>89</v>
      </c>
    </row>
    <row r="31" spans="2:5" ht="25" customHeight="1" outlineLevel="1" thickBot="1" x14ac:dyDescent="0.25">
      <c r="B31" s="23">
        <v>26</v>
      </c>
      <c r="C31" s="147" t="s">
        <v>90</v>
      </c>
      <c r="D31" s="82" t="s">
        <v>42</v>
      </c>
      <c r="E31" s="142" t="s">
        <v>91</v>
      </c>
    </row>
    <row r="32" spans="2:5" ht="25" customHeight="1" thickBot="1" x14ac:dyDescent="0.25">
      <c r="B32" s="156" t="s">
        <v>92</v>
      </c>
      <c r="C32" s="157"/>
      <c r="D32" s="158"/>
      <c r="E32" s="140"/>
    </row>
    <row r="33" spans="2:5" ht="25" customHeight="1" outlineLevel="1" x14ac:dyDescent="0.2">
      <c r="B33" s="29">
        <v>27</v>
      </c>
      <c r="C33" s="145" t="s">
        <v>93</v>
      </c>
      <c r="D33" s="82" t="s">
        <v>58</v>
      </c>
      <c r="E33" s="141"/>
    </row>
    <row r="34" spans="2:5" ht="25" customHeight="1" outlineLevel="1" x14ac:dyDescent="0.2">
      <c r="B34" s="22">
        <v>28</v>
      </c>
      <c r="C34" s="146" t="s">
        <v>94</v>
      </c>
      <c r="D34" s="82" t="s">
        <v>58</v>
      </c>
      <c r="E34" s="142"/>
    </row>
    <row r="35" spans="2:5" ht="25" customHeight="1" outlineLevel="1" x14ac:dyDescent="0.2">
      <c r="B35" s="22">
        <v>29</v>
      </c>
      <c r="C35" s="146" t="s">
        <v>95</v>
      </c>
      <c r="D35" s="82" t="s">
        <v>58</v>
      </c>
      <c r="E35" s="142"/>
    </row>
    <row r="36" spans="2:5" ht="25" customHeight="1" outlineLevel="1" x14ac:dyDescent="0.2">
      <c r="B36" s="22">
        <v>30</v>
      </c>
      <c r="C36" s="146" t="s">
        <v>96</v>
      </c>
      <c r="D36" s="82" t="s">
        <v>61</v>
      </c>
      <c r="E36" s="142"/>
    </row>
    <row r="37" spans="2:5" ht="25" customHeight="1" outlineLevel="1" x14ac:dyDescent="0.2">
      <c r="B37" s="22">
        <v>31</v>
      </c>
      <c r="C37" s="146" t="s">
        <v>97</v>
      </c>
      <c r="D37" s="82" t="s">
        <v>61</v>
      </c>
      <c r="E37" s="142" t="s">
        <v>98</v>
      </c>
    </row>
    <row r="38" spans="2:5" ht="25" customHeight="1" outlineLevel="1" x14ac:dyDescent="0.2">
      <c r="B38" s="22">
        <v>32</v>
      </c>
      <c r="C38" s="146" t="s">
        <v>99</v>
      </c>
      <c r="D38" s="82" t="s">
        <v>58</v>
      </c>
      <c r="E38" s="149" t="s">
        <v>100</v>
      </c>
    </row>
    <row r="39" spans="2:5" ht="25" customHeight="1" outlineLevel="1" x14ac:dyDescent="0.2">
      <c r="B39" s="22">
        <v>33</v>
      </c>
      <c r="C39" s="146" t="s">
        <v>101</v>
      </c>
      <c r="D39" s="82" t="s">
        <v>61</v>
      </c>
      <c r="E39" s="142" t="s">
        <v>102</v>
      </c>
    </row>
    <row r="40" spans="2:5" ht="25" customHeight="1" outlineLevel="1" x14ac:dyDescent="0.2">
      <c r="B40" s="22">
        <v>34</v>
      </c>
      <c r="C40" s="146" t="s">
        <v>103</v>
      </c>
      <c r="D40" s="82" t="s">
        <v>61</v>
      </c>
      <c r="E40" s="142" t="s">
        <v>104</v>
      </c>
    </row>
    <row r="41" spans="2:5" ht="25" customHeight="1" outlineLevel="1" x14ac:dyDescent="0.2">
      <c r="B41" s="22">
        <v>35</v>
      </c>
      <c r="C41" s="146" t="s">
        <v>105</v>
      </c>
      <c r="D41" s="82" t="s">
        <v>61</v>
      </c>
      <c r="E41" s="142" t="s">
        <v>106</v>
      </c>
    </row>
    <row r="42" spans="2:5" ht="25" customHeight="1" outlineLevel="1" x14ac:dyDescent="0.2">
      <c r="B42" s="22">
        <v>36</v>
      </c>
      <c r="C42" s="146" t="s">
        <v>107</v>
      </c>
      <c r="D42" s="82" t="s">
        <v>58</v>
      </c>
      <c r="E42" s="142" t="s">
        <v>108</v>
      </c>
    </row>
    <row r="43" spans="2:5" ht="25" customHeight="1" outlineLevel="1" thickBot="1" x14ac:dyDescent="0.25">
      <c r="B43" s="23">
        <v>37</v>
      </c>
      <c r="C43" s="147" t="s">
        <v>109</v>
      </c>
      <c r="D43" s="82" t="s">
        <v>61</v>
      </c>
      <c r="E43" s="142" t="s">
        <v>110</v>
      </c>
    </row>
    <row r="44" spans="2:5" ht="25" customHeight="1" thickBot="1" x14ac:dyDescent="0.25">
      <c r="B44" s="156" t="s">
        <v>111</v>
      </c>
      <c r="C44" s="157"/>
      <c r="D44" s="158"/>
      <c r="E44" s="144"/>
    </row>
    <row r="45" spans="2:5" ht="25" customHeight="1" outlineLevel="1" x14ac:dyDescent="0.2">
      <c r="B45" s="29">
        <v>38</v>
      </c>
      <c r="C45" s="145" t="s">
        <v>112</v>
      </c>
      <c r="D45" s="82" t="s">
        <v>61</v>
      </c>
      <c r="E45" s="142"/>
    </row>
    <row r="46" spans="2:5" ht="25" customHeight="1" outlineLevel="1" x14ac:dyDescent="0.2">
      <c r="B46" s="22">
        <v>39</v>
      </c>
      <c r="C46" s="146" t="s">
        <v>113</v>
      </c>
      <c r="D46" s="82" t="s">
        <v>61</v>
      </c>
      <c r="E46" s="142" t="s">
        <v>114</v>
      </c>
    </row>
    <row r="47" spans="2:5" ht="25" customHeight="1" outlineLevel="1" x14ac:dyDescent="0.2">
      <c r="B47" s="22">
        <v>40</v>
      </c>
      <c r="C47" s="146" t="s">
        <v>115</v>
      </c>
      <c r="D47" s="82" t="s">
        <v>61</v>
      </c>
      <c r="E47" s="142" t="s">
        <v>116</v>
      </c>
    </row>
    <row r="48" spans="2:5" ht="25" customHeight="1" outlineLevel="1" x14ac:dyDescent="0.2">
      <c r="B48" s="22">
        <v>41</v>
      </c>
      <c r="C48" s="146" t="s">
        <v>117</v>
      </c>
      <c r="D48" s="82" t="s">
        <v>42</v>
      </c>
      <c r="E48" s="142" t="s">
        <v>118</v>
      </c>
    </row>
    <row r="49" spans="2:5" ht="45" outlineLevel="1" x14ac:dyDescent="0.2">
      <c r="B49" s="22">
        <v>42</v>
      </c>
      <c r="C49" s="146" t="s">
        <v>119</v>
      </c>
      <c r="D49" s="82" t="s">
        <v>120</v>
      </c>
      <c r="E49" s="142" t="s">
        <v>121</v>
      </c>
    </row>
    <row r="50" spans="2:5" ht="25" customHeight="1" outlineLevel="1" x14ac:dyDescent="0.2">
      <c r="B50" s="22">
        <v>43</v>
      </c>
      <c r="C50" s="146" t="s">
        <v>122</v>
      </c>
      <c r="D50" s="82" t="s">
        <v>61</v>
      </c>
      <c r="E50" s="142" t="s">
        <v>123</v>
      </c>
    </row>
    <row r="51" spans="2:5" ht="25" customHeight="1" outlineLevel="1" x14ac:dyDescent="0.2">
      <c r="B51" s="22">
        <v>44</v>
      </c>
      <c r="C51" s="146" t="s">
        <v>124</v>
      </c>
      <c r="D51" s="82" t="s">
        <v>58</v>
      </c>
      <c r="E51" s="142" t="s">
        <v>125</v>
      </c>
    </row>
    <row r="52" spans="2:5" ht="25" customHeight="1" outlineLevel="1" x14ac:dyDescent="0.2">
      <c r="B52" s="22">
        <v>45</v>
      </c>
      <c r="C52" s="146" t="s">
        <v>126</v>
      </c>
      <c r="D52" s="82" t="s">
        <v>61</v>
      </c>
      <c r="E52" s="142" t="s">
        <v>127</v>
      </c>
    </row>
    <row r="53" spans="2:5" ht="25" customHeight="1" outlineLevel="1" x14ac:dyDescent="0.2">
      <c r="B53" s="22">
        <v>46</v>
      </c>
      <c r="C53" s="146" t="s">
        <v>128</v>
      </c>
      <c r="D53" s="82" t="s">
        <v>120</v>
      </c>
      <c r="E53" s="142" t="s">
        <v>129</v>
      </c>
    </row>
    <row r="54" spans="2:5" ht="25" customHeight="1" outlineLevel="1" x14ac:dyDescent="0.2">
      <c r="B54" s="22">
        <v>47</v>
      </c>
      <c r="C54" s="146" t="s">
        <v>130</v>
      </c>
      <c r="D54" s="82" t="s">
        <v>61</v>
      </c>
      <c r="E54" s="142" t="s">
        <v>131</v>
      </c>
    </row>
    <row r="55" spans="2:5" ht="25" customHeight="1" outlineLevel="1" x14ac:dyDescent="0.2">
      <c r="B55" s="22">
        <v>48</v>
      </c>
      <c r="C55" s="146" t="s">
        <v>132</v>
      </c>
      <c r="D55" s="82" t="s">
        <v>61</v>
      </c>
      <c r="E55" s="142" t="s">
        <v>133</v>
      </c>
    </row>
    <row r="56" spans="2:5" ht="25" customHeight="1" outlineLevel="1" x14ac:dyDescent="0.2">
      <c r="B56" s="22">
        <v>49</v>
      </c>
      <c r="C56" s="146" t="s">
        <v>134</v>
      </c>
      <c r="D56" s="82" t="s">
        <v>61</v>
      </c>
      <c r="E56" s="142" t="s">
        <v>135</v>
      </c>
    </row>
    <row r="57" spans="2:5" ht="25" customHeight="1" outlineLevel="1" x14ac:dyDescent="0.2">
      <c r="B57" s="22">
        <v>50</v>
      </c>
      <c r="C57" s="146" t="s">
        <v>136</v>
      </c>
      <c r="D57" s="82" t="s">
        <v>81</v>
      </c>
      <c r="E57" s="142"/>
    </row>
    <row r="58" spans="2:5" ht="25" customHeight="1" outlineLevel="1" x14ac:dyDescent="0.2">
      <c r="B58" s="22">
        <v>51</v>
      </c>
      <c r="C58" s="146" t="s">
        <v>137</v>
      </c>
      <c r="D58" s="82" t="s">
        <v>120</v>
      </c>
      <c r="E58" s="142" t="s">
        <v>138</v>
      </c>
    </row>
    <row r="59" spans="2:5" ht="25" customHeight="1" outlineLevel="1" x14ac:dyDescent="0.2">
      <c r="B59" s="22">
        <v>52</v>
      </c>
      <c r="C59" s="146" t="s">
        <v>139</v>
      </c>
      <c r="D59" s="82" t="s">
        <v>61</v>
      </c>
      <c r="E59" s="142" t="s">
        <v>140</v>
      </c>
    </row>
    <row r="60" spans="2:5" ht="25" customHeight="1" outlineLevel="1" x14ac:dyDescent="0.2">
      <c r="B60" s="22">
        <v>53</v>
      </c>
      <c r="C60" s="146" t="s">
        <v>141</v>
      </c>
      <c r="D60" s="82" t="s">
        <v>61</v>
      </c>
      <c r="E60" s="142" t="s">
        <v>142</v>
      </c>
    </row>
    <row r="61" spans="2:5" ht="25" customHeight="1" outlineLevel="1" thickBot="1" x14ac:dyDescent="0.25">
      <c r="B61" s="23">
        <v>54</v>
      </c>
      <c r="C61" s="147" t="s">
        <v>143</v>
      </c>
      <c r="D61" s="82" t="s">
        <v>58</v>
      </c>
      <c r="E61" s="142"/>
    </row>
    <row r="62" spans="2:5" ht="25" customHeight="1" thickBot="1" x14ac:dyDescent="0.25">
      <c r="B62" s="156" t="s">
        <v>144</v>
      </c>
      <c r="C62" s="157"/>
      <c r="D62" s="158"/>
      <c r="E62" s="144"/>
    </row>
    <row r="63" spans="2:5" ht="25" customHeight="1" outlineLevel="1" x14ac:dyDescent="0.2">
      <c r="B63" s="29">
        <v>55</v>
      </c>
      <c r="C63" s="145" t="s">
        <v>145</v>
      </c>
      <c r="D63" s="82" t="s">
        <v>61</v>
      </c>
      <c r="E63" s="142" t="s">
        <v>146</v>
      </c>
    </row>
    <row r="64" spans="2:5" ht="25" customHeight="1" outlineLevel="1" x14ac:dyDescent="0.2">
      <c r="B64" s="22">
        <v>56</v>
      </c>
      <c r="C64" s="146" t="s">
        <v>147</v>
      </c>
      <c r="D64" s="82" t="s">
        <v>120</v>
      </c>
      <c r="E64" s="142" t="s">
        <v>148</v>
      </c>
    </row>
    <row r="65" spans="2:5" ht="25" customHeight="1" outlineLevel="1" x14ac:dyDescent="0.2">
      <c r="B65" s="22">
        <v>57</v>
      </c>
      <c r="C65" s="146" t="s">
        <v>149</v>
      </c>
      <c r="D65" s="82" t="s">
        <v>61</v>
      </c>
      <c r="E65" s="142" t="s">
        <v>150</v>
      </c>
    </row>
    <row r="66" spans="2:5" ht="25" customHeight="1" outlineLevel="1" x14ac:dyDescent="0.2">
      <c r="B66" s="22">
        <v>58</v>
      </c>
      <c r="C66" s="146" t="s">
        <v>151</v>
      </c>
      <c r="D66" s="82" t="s">
        <v>61</v>
      </c>
      <c r="E66" s="142"/>
    </row>
    <row r="67" spans="2:5" ht="25" customHeight="1" outlineLevel="1" x14ac:dyDescent="0.2">
      <c r="B67" s="22">
        <v>59</v>
      </c>
      <c r="C67" s="146" t="s">
        <v>152</v>
      </c>
      <c r="D67" s="82" t="s">
        <v>61</v>
      </c>
      <c r="E67" s="142"/>
    </row>
    <row r="68" spans="2:5" ht="25" customHeight="1" outlineLevel="1" x14ac:dyDescent="0.2">
      <c r="B68" s="22">
        <v>60</v>
      </c>
      <c r="C68" s="146" t="s">
        <v>152</v>
      </c>
      <c r="D68" s="82" t="s">
        <v>61</v>
      </c>
      <c r="E68" s="142"/>
    </row>
    <row r="69" spans="2:5" ht="25" customHeight="1" outlineLevel="1" x14ac:dyDescent="0.2">
      <c r="B69" s="22">
        <v>61</v>
      </c>
      <c r="C69" s="146" t="s">
        <v>153</v>
      </c>
      <c r="D69" s="82" t="s">
        <v>58</v>
      </c>
      <c r="E69" s="142"/>
    </row>
    <row r="70" spans="2:5" ht="25" customHeight="1" outlineLevel="1" thickBot="1" x14ac:dyDescent="0.25">
      <c r="B70" s="23">
        <v>62</v>
      </c>
      <c r="C70" s="147" t="s">
        <v>154</v>
      </c>
      <c r="D70" s="82" t="s">
        <v>58</v>
      </c>
      <c r="E70" s="142"/>
    </row>
    <row r="71" spans="2:5" ht="25" customHeight="1" thickBot="1" x14ac:dyDescent="0.25">
      <c r="B71" s="156" t="s">
        <v>155</v>
      </c>
      <c r="C71" s="157"/>
      <c r="D71" s="158"/>
      <c r="E71" s="140"/>
    </row>
    <row r="72" spans="2:5" ht="25" customHeight="1" outlineLevel="1" x14ac:dyDescent="0.2">
      <c r="B72" s="31">
        <v>63</v>
      </c>
      <c r="C72" s="148" t="s">
        <v>156</v>
      </c>
      <c r="D72" s="82" t="s">
        <v>58</v>
      </c>
      <c r="E72" s="142" t="s">
        <v>157</v>
      </c>
    </row>
    <row r="73" spans="2:5" ht="25" customHeight="1" outlineLevel="1" x14ac:dyDescent="0.2">
      <c r="B73" s="22">
        <v>64</v>
      </c>
      <c r="C73" s="146" t="s">
        <v>158</v>
      </c>
      <c r="D73" s="82" t="s">
        <v>58</v>
      </c>
      <c r="E73" s="142"/>
    </row>
    <row r="74" spans="2:5" ht="25" customHeight="1" outlineLevel="1" x14ac:dyDescent="0.2">
      <c r="B74" s="22">
        <v>65</v>
      </c>
      <c r="C74" s="146" t="s">
        <v>159</v>
      </c>
      <c r="D74" s="82" t="s">
        <v>58</v>
      </c>
      <c r="E74" s="142"/>
    </row>
    <row r="75" spans="2:5" ht="25" customHeight="1" outlineLevel="1" x14ac:dyDescent="0.2">
      <c r="B75" s="22">
        <v>66</v>
      </c>
      <c r="C75" s="146" t="s">
        <v>160</v>
      </c>
      <c r="D75" s="82" t="s">
        <v>58</v>
      </c>
      <c r="E75" s="142"/>
    </row>
    <row r="76" spans="2:5" ht="25" customHeight="1" outlineLevel="1" x14ac:dyDescent="0.2">
      <c r="B76" s="22">
        <v>67</v>
      </c>
      <c r="C76" s="146" t="s">
        <v>161</v>
      </c>
      <c r="D76" s="82" t="s">
        <v>58</v>
      </c>
      <c r="E76" s="142"/>
    </row>
    <row r="77" spans="2:5" ht="25" customHeight="1" outlineLevel="1" x14ac:dyDescent="0.2">
      <c r="B77" s="22">
        <v>68</v>
      </c>
      <c r="C77" s="146" t="s">
        <v>162</v>
      </c>
      <c r="D77" s="82" t="s">
        <v>58</v>
      </c>
      <c r="E77" s="142"/>
    </row>
    <row r="78" spans="2:5" ht="25" customHeight="1" outlineLevel="1" x14ac:dyDescent="0.2">
      <c r="B78" s="22">
        <v>69</v>
      </c>
      <c r="C78" s="146" t="s">
        <v>163</v>
      </c>
      <c r="D78" s="82" t="s">
        <v>58</v>
      </c>
      <c r="E78" s="142"/>
    </row>
    <row r="79" spans="2:5" ht="25" customHeight="1" outlineLevel="1" x14ac:dyDescent="0.2">
      <c r="B79" s="22">
        <v>70</v>
      </c>
      <c r="C79" s="146" t="s">
        <v>164</v>
      </c>
      <c r="D79" s="82" t="s">
        <v>58</v>
      </c>
      <c r="E79" s="142"/>
    </row>
    <row r="80" spans="2:5" ht="25" customHeight="1" outlineLevel="1" x14ac:dyDescent="0.2">
      <c r="B80" s="22">
        <v>71</v>
      </c>
      <c r="C80" s="146" t="s">
        <v>165</v>
      </c>
      <c r="D80" s="82" t="s">
        <v>58</v>
      </c>
      <c r="E80" s="142" t="s">
        <v>166</v>
      </c>
    </row>
    <row r="81" spans="2:5" ht="25" customHeight="1" outlineLevel="1" x14ac:dyDescent="0.2">
      <c r="B81" s="22">
        <v>72</v>
      </c>
      <c r="C81" s="146" t="s">
        <v>167</v>
      </c>
      <c r="D81" s="82" t="s">
        <v>61</v>
      </c>
      <c r="E81" s="142" t="s">
        <v>168</v>
      </c>
    </row>
    <row r="82" spans="2:5" ht="25" customHeight="1" outlineLevel="1" thickBot="1" x14ac:dyDescent="0.25">
      <c r="B82" s="23">
        <v>73</v>
      </c>
      <c r="C82" s="147" t="s">
        <v>169</v>
      </c>
      <c r="D82" s="82" t="s">
        <v>61</v>
      </c>
      <c r="E82" s="142" t="s">
        <v>170</v>
      </c>
    </row>
    <row r="83" spans="2:5" ht="25" customHeight="1" thickBot="1" x14ac:dyDescent="0.25">
      <c r="B83" s="156" t="s">
        <v>171</v>
      </c>
      <c r="C83" s="157"/>
      <c r="D83" s="158"/>
      <c r="E83" s="140"/>
    </row>
    <row r="84" spans="2:5" ht="25" customHeight="1" outlineLevel="1" x14ac:dyDescent="0.2">
      <c r="B84" s="31">
        <v>74</v>
      </c>
      <c r="C84" s="148" t="s">
        <v>172</v>
      </c>
      <c r="D84" s="82" t="s">
        <v>42</v>
      </c>
      <c r="E84" s="142"/>
    </row>
    <row r="85" spans="2:5" ht="25" customHeight="1" outlineLevel="1" x14ac:dyDescent="0.2">
      <c r="B85" s="22">
        <v>75</v>
      </c>
      <c r="C85" s="146" t="s">
        <v>173</v>
      </c>
      <c r="D85" s="82" t="s">
        <v>61</v>
      </c>
      <c r="E85" s="142" t="s">
        <v>174</v>
      </c>
    </row>
    <row r="86" spans="2:5" ht="25" customHeight="1" outlineLevel="1" x14ac:dyDescent="0.2">
      <c r="B86" s="22">
        <v>76</v>
      </c>
      <c r="C86" s="146" t="s">
        <v>175</v>
      </c>
      <c r="D86" s="82" t="s">
        <v>55</v>
      </c>
      <c r="E86" s="142"/>
    </row>
    <row r="87" spans="2:5" ht="25" customHeight="1" outlineLevel="1" x14ac:dyDescent="0.2">
      <c r="B87" s="22">
        <v>77</v>
      </c>
      <c r="C87" s="146" t="s">
        <v>176</v>
      </c>
      <c r="D87" s="82" t="s">
        <v>61</v>
      </c>
      <c r="E87" s="142" t="s">
        <v>177</v>
      </c>
    </row>
    <row r="88" spans="2:5" ht="25" customHeight="1" outlineLevel="1" x14ac:dyDescent="0.2">
      <c r="B88" s="22">
        <v>78</v>
      </c>
      <c r="C88" s="146" t="s">
        <v>178</v>
      </c>
      <c r="D88" s="82" t="s">
        <v>61</v>
      </c>
      <c r="E88" s="142" t="s">
        <v>179</v>
      </c>
    </row>
    <row r="89" spans="2:5" ht="25" customHeight="1" outlineLevel="1" x14ac:dyDescent="0.2">
      <c r="B89" s="22">
        <v>79</v>
      </c>
      <c r="C89" s="146" t="s">
        <v>180</v>
      </c>
      <c r="D89" s="82" t="s">
        <v>61</v>
      </c>
      <c r="E89" s="142" t="s">
        <v>181</v>
      </c>
    </row>
    <row r="90" spans="2:5" ht="25" customHeight="1" outlineLevel="1" x14ac:dyDescent="0.2">
      <c r="B90" s="22">
        <v>80</v>
      </c>
      <c r="C90" s="146" t="s">
        <v>182</v>
      </c>
      <c r="D90" s="82" t="s">
        <v>61</v>
      </c>
      <c r="E90" s="142" t="s">
        <v>68</v>
      </c>
    </row>
    <row r="91" spans="2:5" ht="25" customHeight="1" outlineLevel="1" x14ac:dyDescent="0.2">
      <c r="B91" s="22">
        <v>81</v>
      </c>
      <c r="C91" s="146" t="s">
        <v>183</v>
      </c>
      <c r="D91" s="82" t="s">
        <v>61</v>
      </c>
      <c r="E91" s="142" t="s">
        <v>184</v>
      </c>
    </row>
    <row r="92" spans="2:5" ht="25" customHeight="1" outlineLevel="1" x14ac:dyDescent="0.2">
      <c r="B92" s="22">
        <v>82</v>
      </c>
      <c r="C92" s="146" t="s">
        <v>185</v>
      </c>
      <c r="D92" s="82" t="s">
        <v>61</v>
      </c>
      <c r="E92" s="142" t="s">
        <v>186</v>
      </c>
    </row>
    <row r="93" spans="2:5" ht="25" customHeight="1" outlineLevel="1" x14ac:dyDescent="0.2">
      <c r="B93" s="22">
        <v>83</v>
      </c>
      <c r="C93" s="146" t="s">
        <v>187</v>
      </c>
      <c r="D93" s="82" t="s">
        <v>61</v>
      </c>
      <c r="E93" s="142" t="s">
        <v>68</v>
      </c>
    </row>
    <row r="94" spans="2:5" ht="25" customHeight="1" outlineLevel="1" x14ac:dyDescent="0.2">
      <c r="B94" s="22">
        <v>84</v>
      </c>
      <c r="C94" s="146" t="s">
        <v>188</v>
      </c>
      <c r="D94" s="82" t="s">
        <v>61</v>
      </c>
      <c r="E94" s="142" t="s">
        <v>68</v>
      </c>
    </row>
    <row r="95" spans="2:5" ht="25" customHeight="1" outlineLevel="1" x14ac:dyDescent="0.2">
      <c r="B95" s="22">
        <v>85</v>
      </c>
      <c r="C95" s="146" t="s">
        <v>189</v>
      </c>
      <c r="D95" s="82" t="s">
        <v>58</v>
      </c>
      <c r="E95" s="142" t="s">
        <v>190</v>
      </c>
    </row>
    <row r="96" spans="2:5" ht="25" customHeight="1" outlineLevel="1" x14ac:dyDescent="0.2">
      <c r="B96" s="22">
        <v>86</v>
      </c>
      <c r="C96" s="146" t="s">
        <v>191</v>
      </c>
      <c r="D96" s="82" t="s">
        <v>61</v>
      </c>
      <c r="E96" s="142" t="s">
        <v>68</v>
      </c>
    </row>
    <row r="97" spans="2:5" ht="25" customHeight="1" outlineLevel="1" x14ac:dyDescent="0.2">
      <c r="B97" s="22">
        <v>87</v>
      </c>
      <c r="C97" s="146" t="s">
        <v>192</v>
      </c>
      <c r="D97" s="82" t="s">
        <v>61</v>
      </c>
      <c r="E97" s="142" t="s">
        <v>68</v>
      </c>
    </row>
    <row r="98" spans="2:5" ht="25" customHeight="1" outlineLevel="1" x14ac:dyDescent="0.2">
      <c r="B98" s="22">
        <v>88</v>
      </c>
      <c r="C98" s="146" t="s">
        <v>193</v>
      </c>
      <c r="D98" s="82" t="s">
        <v>81</v>
      </c>
      <c r="E98" s="142" t="s">
        <v>194</v>
      </c>
    </row>
    <row r="99" spans="2:5" ht="25" customHeight="1" outlineLevel="1" x14ac:dyDescent="0.2">
      <c r="B99" s="22">
        <v>89</v>
      </c>
      <c r="C99" s="146" t="s">
        <v>195</v>
      </c>
      <c r="D99" s="82" t="s">
        <v>61</v>
      </c>
      <c r="E99" s="142" t="s">
        <v>196</v>
      </c>
    </row>
    <row r="100" spans="2:5" ht="25" customHeight="1" outlineLevel="1" thickBot="1" x14ac:dyDescent="0.25">
      <c r="B100" s="23">
        <v>90</v>
      </c>
      <c r="C100" s="147" t="s">
        <v>197</v>
      </c>
      <c r="D100" s="82" t="s">
        <v>61</v>
      </c>
      <c r="E100" s="142" t="s">
        <v>68</v>
      </c>
    </row>
    <row r="101" spans="2:5" ht="25" customHeight="1" thickBot="1" x14ac:dyDescent="0.25">
      <c r="B101" s="156" t="s">
        <v>198</v>
      </c>
      <c r="C101" s="157"/>
      <c r="D101" s="158"/>
      <c r="E101" s="140"/>
    </row>
    <row r="102" spans="2:5" ht="25" customHeight="1" outlineLevel="1" x14ac:dyDescent="0.2">
      <c r="B102" s="31">
        <v>91</v>
      </c>
      <c r="C102" s="148" t="s">
        <v>199</v>
      </c>
      <c r="D102" s="82" t="s">
        <v>61</v>
      </c>
      <c r="E102" s="142" t="s">
        <v>200</v>
      </c>
    </row>
    <row r="103" spans="2:5" ht="25" customHeight="1" outlineLevel="1" x14ac:dyDescent="0.2">
      <c r="B103" s="22">
        <v>92</v>
      </c>
      <c r="C103" s="146" t="s">
        <v>201</v>
      </c>
      <c r="D103" s="82" t="s">
        <v>61</v>
      </c>
      <c r="E103" s="142" t="s">
        <v>68</v>
      </c>
    </row>
    <row r="104" spans="2:5" ht="25" customHeight="1" outlineLevel="1" x14ac:dyDescent="0.2">
      <c r="B104" s="22">
        <v>93</v>
      </c>
      <c r="C104" s="146" t="s">
        <v>202</v>
      </c>
      <c r="D104" s="82" t="s">
        <v>58</v>
      </c>
      <c r="E104" s="142" t="s">
        <v>203</v>
      </c>
    </row>
    <row r="105" spans="2:5" ht="25" customHeight="1" outlineLevel="1" x14ac:dyDescent="0.2">
      <c r="B105" s="22">
        <v>94</v>
      </c>
      <c r="C105" s="146" t="s">
        <v>204</v>
      </c>
      <c r="D105" s="82" t="s">
        <v>58</v>
      </c>
      <c r="E105" s="142" t="s">
        <v>205</v>
      </c>
    </row>
    <row r="106" spans="2:5" ht="25" customHeight="1" outlineLevel="1" x14ac:dyDescent="0.2">
      <c r="B106" s="22">
        <v>95</v>
      </c>
      <c r="C106" s="146" t="s">
        <v>206</v>
      </c>
      <c r="D106" s="82" t="s">
        <v>61</v>
      </c>
      <c r="E106" s="142"/>
    </row>
    <row r="107" spans="2:5" ht="25" customHeight="1" outlineLevel="1" x14ac:dyDescent="0.2">
      <c r="B107" s="22">
        <v>96</v>
      </c>
      <c r="C107" s="146" t="s">
        <v>207</v>
      </c>
      <c r="D107" s="82" t="s">
        <v>61</v>
      </c>
      <c r="E107" s="142"/>
    </row>
    <row r="108" spans="2:5" ht="25" customHeight="1" outlineLevel="1" x14ac:dyDescent="0.2">
      <c r="B108" s="22">
        <v>97</v>
      </c>
      <c r="C108" s="146" t="s">
        <v>208</v>
      </c>
      <c r="D108" s="82" t="s">
        <v>61</v>
      </c>
      <c r="E108" s="142"/>
    </row>
    <row r="109" spans="2:5" ht="25" customHeight="1" outlineLevel="1" x14ac:dyDescent="0.2">
      <c r="B109" s="22">
        <v>98</v>
      </c>
      <c r="C109" s="146" t="s">
        <v>209</v>
      </c>
      <c r="D109" s="82" t="s">
        <v>61</v>
      </c>
      <c r="E109" s="142" t="s">
        <v>210</v>
      </c>
    </row>
    <row r="110" spans="2:5" ht="25" customHeight="1" outlineLevel="1" x14ac:dyDescent="0.2">
      <c r="B110" s="22">
        <v>99</v>
      </c>
      <c r="C110" s="146" t="s">
        <v>211</v>
      </c>
      <c r="D110" s="82" t="s">
        <v>81</v>
      </c>
      <c r="E110" s="142"/>
    </row>
    <row r="111" spans="2:5" ht="25" customHeight="1" outlineLevel="1" thickBot="1" x14ac:dyDescent="0.25">
      <c r="B111" s="23">
        <v>100</v>
      </c>
      <c r="C111" s="147" t="s">
        <v>212</v>
      </c>
      <c r="D111" s="82" t="s">
        <v>61</v>
      </c>
      <c r="E111" s="142" t="s">
        <v>213</v>
      </c>
    </row>
    <row r="112" spans="2:5" ht="25" customHeight="1" thickBot="1" x14ac:dyDescent="0.25">
      <c r="B112" s="156" t="s">
        <v>214</v>
      </c>
      <c r="C112" s="157"/>
      <c r="D112" s="158"/>
      <c r="E112" s="140"/>
    </row>
    <row r="113" spans="2:7" ht="25" customHeight="1" outlineLevel="1" x14ac:dyDescent="0.2">
      <c r="B113" s="31">
        <v>101</v>
      </c>
      <c r="C113" s="148" t="s">
        <v>215</v>
      </c>
      <c r="D113" s="82" t="s">
        <v>55</v>
      </c>
      <c r="E113" s="142" t="s">
        <v>216</v>
      </c>
    </row>
    <row r="114" spans="2:7" ht="25" customHeight="1" outlineLevel="1" x14ac:dyDescent="0.2">
      <c r="B114" s="22">
        <v>102</v>
      </c>
      <c r="C114" s="146" t="s">
        <v>217</v>
      </c>
      <c r="D114" s="82" t="s">
        <v>55</v>
      </c>
      <c r="E114" s="142" t="s">
        <v>218</v>
      </c>
    </row>
    <row r="115" spans="2:7" ht="25" customHeight="1" outlineLevel="1" x14ac:dyDescent="0.2">
      <c r="B115" s="22">
        <v>103</v>
      </c>
      <c r="C115" s="146" t="s">
        <v>219</v>
      </c>
      <c r="D115" s="82" t="s">
        <v>58</v>
      </c>
      <c r="E115" s="149" t="s">
        <v>220</v>
      </c>
    </row>
    <row r="116" spans="2:7" ht="25" customHeight="1" outlineLevel="1" x14ac:dyDescent="0.2">
      <c r="B116" s="22">
        <v>104</v>
      </c>
      <c r="C116" s="146" t="s">
        <v>221</v>
      </c>
      <c r="D116" s="82" t="s">
        <v>58</v>
      </c>
      <c r="E116" s="149" t="s">
        <v>220</v>
      </c>
    </row>
    <row r="117" spans="2:7" ht="25" customHeight="1" outlineLevel="1" x14ac:dyDescent="0.2">
      <c r="B117" s="22">
        <v>105</v>
      </c>
      <c r="C117" s="146" t="s">
        <v>222</v>
      </c>
      <c r="D117" s="82" t="s">
        <v>42</v>
      </c>
      <c r="E117" s="142" t="s">
        <v>223</v>
      </c>
      <c r="G117" s="142"/>
    </row>
    <row r="118" spans="2:7" ht="25" customHeight="1" outlineLevel="1" x14ac:dyDescent="0.2">
      <c r="B118" s="22">
        <v>106</v>
      </c>
      <c r="C118" s="146" t="s">
        <v>224</v>
      </c>
      <c r="D118" s="82" t="s">
        <v>61</v>
      </c>
      <c r="E118" s="142" t="s">
        <v>225</v>
      </c>
    </row>
    <row r="119" spans="2:7" ht="25" customHeight="1" outlineLevel="1" x14ac:dyDescent="0.2">
      <c r="B119" s="22">
        <v>107</v>
      </c>
      <c r="C119" s="146" t="s">
        <v>226</v>
      </c>
      <c r="D119" s="82" t="s">
        <v>58</v>
      </c>
      <c r="E119" s="142"/>
    </row>
    <row r="120" spans="2:7" ht="45" outlineLevel="1" x14ac:dyDescent="0.2">
      <c r="B120" s="22">
        <v>108</v>
      </c>
      <c r="C120" s="146" t="s">
        <v>227</v>
      </c>
      <c r="D120" s="82" t="s">
        <v>61</v>
      </c>
      <c r="E120" s="142" t="s">
        <v>228</v>
      </c>
    </row>
    <row r="121" spans="2:7" ht="25" customHeight="1" outlineLevel="1" x14ac:dyDescent="0.2">
      <c r="B121" s="22">
        <v>109</v>
      </c>
      <c r="C121" s="146" t="s">
        <v>229</v>
      </c>
      <c r="D121" s="82" t="s">
        <v>61</v>
      </c>
      <c r="E121" s="142" t="s">
        <v>230</v>
      </c>
    </row>
    <row r="122" spans="2:7" ht="25" customHeight="1" outlineLevel="1" x14ac:dyDescent="0.2">
      <c r="B122" s="22">
        <v>110</v>
      </c>
      <c r="C122" s="146" t="s">
        <v>231</v>
      </c>
      <c r="D122" s="82" t="s">
        <v>61</v>
      </c>
      <c r="E122" s="142" t="s">
        <v>232</v>
      </c>
    </row>
    <row r="123" spans="2:7" ht="25" customHeight="1" outlineLevel="1" x14ac:dyDescent="0.2">
      <c r="B123" s="22">
        <v>111</v>
      </c>
      <c r="C123" s="146" t="s">
        <v>233</v>
      </c>
      <c r="D123" s="82" t="s">
        <v>55</v>
      </c>
      <c r="E123" s="142" t="s">
        <v>68</v>
      </c>
    </row>
    <row r="124" spans="2:7" ht="25" customHeight="1" outlineLevel="1" x14ac:dyDescent="0.2">
      <c r="B124" s="22">
        <v>112</v>
      </c>
      <c r="C124" s="146" t="s">
        <v>234</v>
      </c>
      <c r="D124" s="82" t="s">
        <v>61</v>
      </c>
      <c r="E124" s="142" t="s">
        <v>235</v>
      </c>
    </row>
    <row r="125" spans="2:7" ht="25" customHeight="1" outlineLevel="1" x14ac:dyDescent="0.2">
      <c r="B125" s="22">
        <v>113</v>
      </c>
      <c r="C125" s="146" t="s">
        <v>236</v>
      </c>
      <c r="D125" s="82" t="s">
        <v>61</v>
      </c>
      <c r="E125" s="142" t="s">
        <v>237</v>
      </c>
    </row>
    <row r="126" spans="2:7" ht="25" customHeight="1" outlineLevel="1" x14ac:dyDescent="0.2">
      <c r="B126" s="22">
        <v>114</v>
      </c>
      <c r="C126" s="146" t="s">
        <v>238</v>
      </c>
      <c r="D126" s="82" t="s">
        <v>61</v>
      </c>
      <c r="E126" s="142" t="s">
        <v>239</v>
      </c>
    </row>
    <row r="127" spans="2:7" ht="25" customHeight="1" outlineLevel="1" thickBot="1" x14ac:dyDescent="0.25">
      <c r="B127" s="23">
        <v>115</v>
      </c>
      <c r="C127" s="147" t="s">
        <v>240</v>
      </c>
      <c r="D127" s="82" t="s">
        <v>61</v>
      </c>
      <c r="E127" s="142" t="s">
        <v>241</v>
      </c>
    </row>
    <row r="128" spans="2:7" ht="25" customHeight="1" thickBot="1" x14ac:dyDescent="0.25">
      <c r="B128" s="156" t="s">
        <v>242</v>
      </c>
      <c r="C128" s="157"/>
      <c r="D128" s="158"/>
      <c r="E128" s="140"/>
    </row>
    <row r="129" spans="1:5" ht="25" customHeight="1" outlineLevel="1" x14ac:dyDescent="0.2">
      <c r="B129" s="29">
        <v>116</v>
      </c>
      <c r="C129" s="145" t="s">
        <v>243</v>
      </c>
      <c r="D129" s="82" t="s">
        <v>58</v>
      </c>
      <c r="E129" s="142" t="s">
        <v>244</v>
      </c>
    </row>
    <row r="130" spans="1:5" ht="25" customHeight="1" outlineLevel="1" x14ac:dyDescent="0.2">
      <c r="B130" s="22">
        <v>117</v>
      </c>
      <c r="C130" s="146" t="s">
        <v>245</v>
      </c>
      <c r="D130" s="82" t="s">
        <v>58</v>
      </c>
      <c r="E130" s="142"/>
    </row>
    <row r="131" spans="1:5" ht="25" customHeight="1" outlineLevel="1" x14ac:dyDescent="0.2">
      <c r="B131" s="22">
        <v>118</v>
      </c>
      <c r="C131" s="146" t="s">
        <v>246</v>
      </c>
      <c r="D131" s="82" t="s">
        <v>58</v>
      </c>
      <c r="E131" s="142"/>
    </row>
    <row r="132" spans="1:5" ht="25" customHeight="1" outlineLevel="1" x14ac:dyDescent="0.2">
      <c r="B132" s="22">
        <v>119</v>
      </c>
      <c r="C132" s="146" t="s">
        <v>247</v>
      </c>
      <c r="D132" s="82" t="s">
        <v>58</v>
      </c>
      <c r="E132" s="142"/>
    </row>
    <row r="133" spans="1:5" ht="25" customHeight="1" outlineLevel="1" x14ac:dyDescent="0.2">
      <c r="B133" s="22">
        <v>120</v>
      </c>
      <c r="C133" s="146" t="s">
        <v>248</v>
      </c>
      <c r="D133" s="82" t="s">
        <v>58</v>
      </c>
      <c r="E133" s="142"/>
    </row>
    <row r="134" spans="1:5" ht="25" customHeight="1" outlineLevel="1" x14ac:dyDescent="0.2">
      <c r="B134" s="22">
        <v>121</v>
      </c>
      <c r="C134" s="146" t="s">
        <v>249</v>
      </c>
      <c r="D134" s="82" t="s">
        <v>58</v>
      </c>
      <c r="E134" s="142"/>
    </row>
    <row r="135" spans="1:5" ht="25" customHeight="1" outlineLevel="1" x14ac:dyDescent="0.2">
      <c r="B135" s="22">
        <v>122</v>
      </c>
      <c r="C135" s="146" t="s">
        <v>250</v>
      </c>
      <c r="D135" s="82" t="s">
        <v>58</v>
      </c>
      <c r="E135" s="142"/>
    </row>
    <row r="136" spans="1:5" ht="25" customHeight="1" outlineLevel="1" x14ac:dyDescent="0.2">
      <c r="B136" s="22">
        <v>123</v>
      </c>
      <c r="C136" s="146" t="s">
        <v>251</v>
      </c>
      <c r="D136" s="82" t="s">
        <v>58</v>
      </c>
      <c r="E136" s="142"/>
    </row>
    <row r="137" spans="1:5" ht="25" customHeight="1" outlineLevel="1" x14ac:dyDescent="0.2">
      <c r="B137" s="29">
        <v>124</v>
      </c>
      <c r="C137" s="145" t="s">
        <v>252</v>
      </c>
      <c r="D137" s="82" t="s">
        <v>58</v>
      </c>
      <c r="E137" s="142"/>
    </row>
    <row r="138" spans="1:5" ht="25" customHeight="1" outlineLevel="1" thickBot="1" x14ac:dyDescent="0.25">
      <c r="B138" s="29">
        <v>125</v>
      </c>
      <c r="C138" s="145" t="s">
        <v>253</v>
      </c>
      <c r="D138" s="82" t="s">
        <v>58</v>
      </c>
      <c r="E138" s="142"/>
    </row>
    <row r="139" spans="1:5" ht="25" customHeight="1" thickBot="1" x14ac:dyDescent="0.25">
      <c r="B139" s="156" t="s">
        <v>254</v>
      </c>
      <c r="C139" s="157"/>
      <c r="D139" s="158"/>
      <c r="E139" s="140"/>
    </row>
    <row r="140" spans="1:5" ht="25" customHeight="1" outlineLevel="1" x14ac:dyDescent="0.2">
      <c r="B140" s="22">
        <v>126</v>
      </c>
      <c r="C140" s="146" t="s">
        <v>255</v>
      </c>
      <c r="D140" s="82" t="s">
        <v>61</v>
      </c>
      <c r="E140" s="142" t="s">
        <v>256</v>
      </c>
    </row>
    <row r="141" spans="1:5" ht="25" customHeight="1" outlineLevel="1" x14ac:dyDescent="0.2">
      <c r="B141" s="22">
        <v>127</v>
      </c>
      <c r="C141" s="146" t="s">
        <v>257</v>
      </c>
      <c r="D141" s="82" t="s">
        <v>61</v>
      </c>
      <c r="E141" s="142" t="s">
        <v>68</v>
      </c>
    </row>
    <row r="142" spans="1:5" ht="25" customHeight="1" outlineLevel="1" x14ac:dyDescent="0.2">
      <c r="A142"/>
      <c r="B142" s="22">
        <v>128</v>
      </c>
      <c r="C142" s="146" t="s">
        <v>258</v>
      </c>
      <c r="D142" s="82" t="s">
        <v>61</v>
      </c>
      <c r="E142" s="142" t="s">
        <v>68</v>
      </c>
    </row>
    <row r="143" spans="1:5" ht="25" customHeight="1" outlineLevel="1" x14ac:dyDescent="0.2">
      <c r="A143"/>
      <c r="B143" s="22">
        <v>129</v>
      </c>
      <c r="C143" s="146" t="s">
        <v>259</v>
      </c>
      <c r="D143" s="82" t="s">
        <v>61</v>
      </c>
      <c r="E143" s="142" t="s">
        <v>260</v>
      </c>
    </row>
    <row r="144" spans="1:5" ht="25" customHeight="1" outlineLevel="1" x14ac:dyDescent="0.2">
      <c r="A144"/>
      <c r="B144" s="22">
        <v>130</v>
      </c>
      <c r="C144" s="146" t="s">
        <v>261</v>
      </c>
      <c r="D144" s="82" t="s">
        <v>61</v>
      </c>
      <c r="E144" s="142" t="s">
        <v>262</v>
      </c>
    </row>
    <row r="145" spans="1:5" ht="25" customHeight="1" outlineLevel="1" x14ac:dyDescent="0.2">
      <c r="A145"/>
      <c r="B145" s="22">
        <v>131</v>
      </c>
      <c r="C145" s="146" t="s">
        <v>263</v>
      </c>
      <c r="D145" s="82" t="s">
        <v>61</v>
      </c>
      <c r="E145" s="142" t="s">
        <v>264</v>
      </c>
    </row>
    <row r="146" spans="1:5" ht="25" customHeight="1" outlineLevel="1" x14ac:dyDescent="0.2">
      <c r="A146"/>
      <c r="B146" s="22">
        <v>132</v>
      </c>
      <c r="C146" s="146" t="s">
        <v>265</v>
      </c>
      <c r="D146" s="82" t="s">
        <v>42</v>
      </c>
      <c r="E146" s="142" t="s">
        <v>266</v>
      </c>
    </row>
    <row r="147" spans="1:5" ht="25" customHeight="1" outlineLevel="1" x14ac:dyDescent="0.2">
      <c r="A147"/>
      <c r="B147" s="22">
        <v>133</v>
      </c>
      <c r="C147" s="146" t="s">
        <v>267</v>
      </c>
      <c r="D147" s="82" t="s">
        <v>61</v>
      </c>
      <c r="E147" s="142" t="s">
        <v>68</v>
      </c>
    </row>
    <row r="148" spans="1:5" ht="25" customHeight="1" outlineLevel="1" x14ac:dyDescent="0.2">
      <c r="A148"/>
      <c r="B148" s="22">
        <v>134</v>
      </c>
      <c r="C148" s="146" t="s">
        <v>268</v>
      </c>
      <c r="D148" s="82" t="s">
        <v>42</v>
      </c>
      <c r="E148" s="142" t="s">
        <v>269</v>
      </c>
    </row>
    <row r="149" spans="1:5" ht="25" customHeight="1" outlineLevel="1" x14ac:dyDescent="0.2">
      <c r="A149"/>
      <c r="B149" s="22">
        <v>135</v>
      </c>
      <c r="C149" s="146" t="s">
        <v>270</v>
      </c>
      <c r="D149" s="82" t="s">
        <v>61</v>
      </c>
      <c r="E149" s="142" t="s">
        <v>68</v>
      </c>
    </row>
    <row r="150" spans="1:5" ht="25" customHeight="1" outlineLevel="1" x14ac:dyDescent="0.2">
      <c r="A150"/>
      <c r="B150" s="22">
        <v>136</v>
      </c>
      <c r="C150" s="146" t="s">
        <v>271</v>
      </c>
      <c r="D150" s="82" t="s">
        <v>61</v>
      </c>
      <c r="E150" s="142" t="s">
        <v>272</v>
      </c>
    </row>
    <row r="151" spans="1:5" ht="25" customHeight="1" outlineLevel="1" x14ac:dyDescent="0.2">
      <c r="A151"/>
      <c r="B151" s="22">
        <v>137</v>
      </c>
      <c r="C151" s="146" t="s">
        <v>273</v>
      </c>
      <c r="D151" s="82" t="s">
        <v>120</v>
      </c>
      <c r="E151" s="142" t="s">
        <v>274</v>
      </c>
    </row>
    <row r="152" spans="1:5" ht="25" customHeight="1" outlineLevel="1" x14ac:dyDescent="0.2">
      <c r="A152"/>
      <c r="B152" s="22">
        <v>138</v>
      </c>
      <c r="C152" s="146" t="s">
        <v>275</v>
      </c>
      <c r="D152" s="82" t="s">
        <v>61</v>
      </c>
      <c r="E152" s="142" t="s">
        <v>276</v>
      </c>
    </row>
    <row r="153" spans="1:5" ht="25" customHeight="1" outlineLevel="1" x14ac:dyDescent="0.2">
      <c r="A153"/>
      <c r="B153" s="22">
        <v>139</v>
      </c>
      <c r="C153" s="146" t="s">
        <v>277</v>
      </c>
      <c r="D153" s="82" t="s">
        <v>81</v>
      </c>
      <c r="E153" s="142" t="s">
        <v>278</v>
      </c>
    </row>
    <row r="154" spans="1:5" ht="25" customHeight="1" outlineLevel="1" x14ac:dyDescent="0.2">
      <c r="A154"/>
      <c r="B154" s="22">
        <v>140</v>
      </c>
      <c r="C154" s="146" t="s">
        <v>279</v>
      </c>
      <c r="D154" s="82" t="s">
        <v>42</v>
      </c>
      <c r="E154" s="142" t="s">
        <v>280</v>
      </c>
    </row>
    <row r="155" spans="1:5" ht="25" customHeight="1" outlineLevel="1" x14ac:dyDescent="0.2">
      <c r="A155"/>
      <c r="B155" s="22">
        <v>141</v>
      </c>
      <c r="C155" s="146" t="s">
        <v>281</v>
      </c>
      <c r="D155" s="82" t="s">
        <v>42</v>
      </c>
      <c r="E155" s="142"/>
    </row>
    <row r="156" spans="1:5" ht="25" customHeight="1" outlineLevel="1" thickBot="1" x14ac:dyDescent="0.25">
      <c r="A156"/>
      <c r="B156" s="22">
        <v>142</v>
      </c>
      <c r="C156" s="146" t="s">
        <v>282</v>
      </c>
      <c r="D156" s="82" t="s">
        <v>61</v>
      </c>
      <c r="E156" s="142" t="s">
        <v>283</v>
      </c>
    </row>
    <row r="157" spans="1:5" ht="25" customHeight="1" thickBot="1" x14ac:dyDescent="0.25">
      <c r="B157" s="156" t="s">
        <v>284</v>
      </c>
      <c r="C157" s="157"/>
      <c r="D157" s="158"/>
      <c r="E157" s="140"/>
    </row>
    <row r="158" spans="1:5" ht="25" customHeight="1" outlineLevel="1" x14ac:dyDescent="0.2">
      <c r="B158" s="22">
        <v>143</v>
      </c>
      <c r="C158" s="146" t="s">
        <v>285</v>
      </c>
      <c r="D158" s="82" t="s">
        <v>58</v>
      </c>
      <c r="E158" s="142" t="s">
        <v>286</v>
      </c>
    </row>
    <row r="159" spans="1:5" ht="25" customHeight="1" outlineLevel="1" x14ac:dyDescent="0.2">
      <c r="B159" s="22">
        <v>144</v>
      </c>
      <c r="C159" s="146" t="s">
        <v>287</v>
      </c>
      <c r="D159" s="82" t="s">
        <v>58</v>
      </c>
      <c r="E159" s="142" t="s">
        <v>286</v>
      </c>
    </row>
    <row r="160" spans="1:5" ht="25" customHeight="1" outlineLevel="1" x14ac:dyDescent="0.2">
      <c r="B160" s="22">
        <v>145</v>
      </c>
      <c r="C160" s="146" t="s">
        <v>288</v>
      </c>
      <c r="D160" s="82" t="s">
        <v>58</v>
      </c>
      <c r="E160" s="142" t="s">
        <v>286</v>
      </c>
    </row>
    <row r="161" spans="2:5" ht="25" customHeight="1" outlineLevel="1" x14ac:dyDescent="0.2">
      <c r="B161" s="22">
        <v>146</v>
      </c>
      <c r="C161" s="146" t="s">
        <v>289</v>
      </c>
      <c r="D161" s="82" t="s">
        <v>61</v>
      </c>
      <c r="E161" s="142" t="s">
        <v>290</v>
      </c>
    </row>
    <row r="162" spans="2:5" ht="25" customHeight="1" outlineLevel="1" x14ac:dyDescent="0.2">
      <c r="B162" s="22">
        <v>147</v>
      </c>
      <c r="C162" s="146" t="s">
        <v>291</v>
      </c>
      <c r="D162" s="82" t="s">
        <v>58</v>
      </c>
      <c r="E162" s="142" t="s">
        <v>286</v>
      </c>
    </row>
    <row r="163" spans="2:5" ht="25" customHeight="1" outlineLevel="1" x14ac:dyDescent="0.2">
      <c r="B163" s="22">
        <v>148</v>
      </c>
      <c r="C163" s="146" t="s">
        <v>292</v>
      </c>
      <c r="D163" s="82" t="s">
        <v>61</v>
      </c>
      <c r="E163" s="149" t="s">
        <v>293</v>
      </c>
    </row>
    <row r="164" spans="2:5" ht="25" customHeight="1" outlineLevel="1" x14ac:dyDescent="0.2">
      <c r="B164" s="22">
        <v>149</v>
      </c>
      <c r="C164" s="146" t="s">
        <v>294</v>
      </c>
      <c r="D164" s="82" t="s">
        <v>61</v>
      </c>
      <c r="E164" s="142"/>
    </row>
    <row r="165" spans="2:5" ht="25" customHeight="1" outlineLevel="1" thickBot="1" x14ac:dyDescent="0.25">
      <c r="B165" s="22">
        <v>150</v>
      </c>
      <c r="C165" s="146" t="s">
        <v>295</v>
      </c>
      <c r="D165" s="82" t="s">
        <v>61</v>
      </c>
      <c r="E165" s="143"/>
    </row>
    <row r="166" spans="2:5" ht="25" customHeight="1" thickBot="1" x14ac:dyDescent="0.25">
      <c r="B166" s="156" t="s">
        <v>296</v>
      </c>
      <c r="C166" s="157"/>
      <c r="D166" s="158"/>
      <c r="E166" s="140"/>
    </row>
    <row r="167" spans="2:5" ht="25" customHeight="1" outlineLevel="1" x14ac:dyDescent="0.2">
      <c r="B167" s="31">
        <v>151</v>
      </c>
      <c r="C167" s="148" t="s">
        <v>297</v>
      </c>
      <c r="D167" s="82" t="s">
        <v>61</v>
      </c>
      <c r="E167" s="141" t="s">
        <v>298</v>
      </c>
    </row>
    <row r="168" spans="2:5" ht="25" customHeight="1" outlineLevel="1" x14ac:dyDescent="0.2">
      <c r="B168" s="22">
        <v>152</v>
      </c>
      <c r="C168" s="146" t="s">
        <v>299</v>
      </c>
      <c r="D168" s="82" t="s">
        <v>61</v>
      </c>
      <c r="E168" s="142"/>
    </row>
    <row r="169" spans="2:5" ht="25" customHeight="1" outlineLevel="1" x14ac:dyDescent="0.2">
      <c r="B169" s="22">
        <v>153</v>
      </c>
      <c r="C169" s="146" t="s">
        <v>300</v>
      </c>
      <c r="D169" s="82" t="s">
        <v>42</v>
      </c>
      <c r="E169" s="142"/>
    </row>
    <row r="170" spans="2:5" ht="25" customHeight="1" outlineLevel="1" x14ac:dyDescent="0.2">
      <c r="B170" s="22">
        <v>154</v>
      </c>
      <c r="C170" s="146" t="s">
        <v>301</v>
      </c>
      <c r="D170" s="82" t="s">
        <v>120</v>
      </c>
      <c r="E170" s="142" t="s">
        <v>302</v>
      </c>
    </row>
    <row r="171" spans="2:5" ht="25" customHeight="1" outlineLevel="1" x14ac:dyDescent="0.2">
      <c r="B171" s="22">
        <v>155</v>
      </c>
      <c r="C171" s="146" t="s">
        <v>303</v>
      </c>
      <c r="D171" s="82" t="s">
        <v>58</v>
      </c>
      <c r="E171" s="142"/>
    </row>
    <row r="172" spans="2:5" ht="25" customHeight="1" outlineLevel="1" x14ac:dyDescent="0.2">
      <c r="B172" s="22">
        <v>156</v>
      </c>
      <c r="C172" s="146" t="s">
        <v>304</v>
      </c>
      <c r="D172" s="82" t="s">
        <v>42</v>
      </c>
      <c r="E172" s="142" t="s">
        <v>305</v>
      </c>
    </row>
    <row r="173" spans="2:5" ht="25" customHeight="1" outlineLevel="1" x14ac:dyDescent="0.2">
      <c r="B173" s="22">
        <v>157</v>
      </c>
      <c r="C173" s="146" t="s">
        <v>306</v>
      </c>
      <c r="D173" s="82" t="s">
        <v>42</v>
      </c>
      <c r="E173" s="142" t="s">
        <v>305</v>
      </c>
    </row>
    <row r="174" spans="2:5" ht="25" customHeight="1" outlineLevel="1" x14ac:dyDescent="0.2">
      <c r="B174" s="22">
        <v>158</v>
      </c>
      <c r="C174" s="146" t="s">
        <v>307</v>
      </c>
      <c r="D174" s="82" t="s">
        <v>42</v>
      </c>
      <c r="E174" s="142" t="s">
        <v>305</v>
      </c>
    </row>
    <row r="175" spans="2:5" ht="25" customHeight="1" outlineLevel="1" thickBot="1" x14ac:dyDescent="0.25">
      <c r="B175" s="23">
        <v>159</v>
      </c>
      <c r="C175" s="147" t="s">
        <v>308</v>
      </c>
      <c r="D175" s="16" t="s">
        <v>42</v>
      </c>
      <c r="E175" s="150" t="s">
        <v>305</v>
      </c>
    </row>
    <row r="176" spans="2:5" ht="25" customHeight="1" x14ac:dyDescent="0.2"/>
    <row r="177" spans="3:3" ht="25" customHeight="1" x14ac:dyDescent="0.2"/>
    <row r="178" spans="3:3" ht="25" customHeight="1" x14ac:dyDescent="0.2"/>
    <row r="179" spans="3:3" ht="25" customHeight="1" x14ac:dyDescent="0.2">
      <c r="C179" s="3"/>
    </row>
  </sheetData>
  <mergeCells count="14">
    <mergeCell ref="B157:D157"/>
    <mergeCell ref="B166:D166"/>
    <mergeCell ref="B3:D3"/>
    <mergeCell ref="B11:D11"/>
    <mergeCell ref="B19:D19"/>
    <mergeCell ref="B32:D32"/>
    <mergeCell ref="B44:D44"/>
    <mergeCell ref="B62:D62"/>
    <mergeCell ref="B71:D71"/>
    <mergeCell ref="B83:D83"/>
    <mergeCell ref="B112:D112"/>
    <mergeCell ref="B139:D139"/>
    <mergeCell ref="B101:D101"/>
    <mergeCell ref="B128:D128"/>
  </mergeCells>
  <conditionalFormatting sqref="D4:D10">
    <cfRule type="cellIs" dxfId="141" priority="1" operator="equal">
      <formula>"Please Select"</formula>
    </cfRule>
    <cfRule type="colorScale" priority="2">
      <colorScale>
        <cfvo type="min"/>
        <cfvo type="max"/>
        <color rgb="FFFF7128"/>
        <color rgb="FFFFEF9C"/>
      </colorScale>
    </cfRule>
    <cfRule type="containsBlanks" dxfId="140" priority="3">
      <formula>LEN(TRIM(D4))=0</formula>
    </cfRule>
  </conditionalFormatting>
  <conditionalFormatting sqref="D5:D10">
    <cfRule type="cellIs" dxfId="139" priority="127" operator="equal">
      <formula>"Please Select"</formula>
    </cfRule>
    <cfRule type="colorScale" priority="128">
      <colorScale>
        <cfvo type="min"/>
        <cfvo type="max"/>
        <color rgb="FFFF7128"/>
        <color rgb="FFFFEF9C"/>
      </colorScale>
    </cfRule>
    <cfRule type="containsBlanks" dxfId="138" priority="255">
      <formula>LEN(TRIM(D5))=0</formula>
    </cfRule>
  </conditionalFormatting>
  <conditionalFormatting sqref="D7">
    <cfRule type="cellIs" dxfId="137" priority="85" operator="equal">
      <formula>"Please Select"</formula>
    </cfRule>
    <cfRule type="colorScale" priority="86">
      <colorScale>
        <cfvo type="min"/>
        <cfvo type="max"/>
        <color rgb="FFFF7128"/>
        <color rgb="FFFFEF9C"/>
      </colorScale>
    </cfRule>
    <cfRule type="containsBlanks" dxfId="136" priority="87">
      <formula>LEN(TRIM(D7))=0</formula>
    </cfRule>
  </conditionalFormatting>
  <conditionalFormatting sqref="D12:D18">
    <cfRule type="cellIs" dxfId="135" priority="43" operator="equal">
      <formula>"Please Select"</formula>
    </cfRule>
    <cfRule type="colorScale" priority="44">
      <colorScale>
        <cfvo type="min"/>
        <cfvo type="max"/>
        <color rgb="FFFF7128"/>
        <color rgb="FFFFEF9C"/>
      </colorScale>
    </cfRule>
    <cfRule type="containsBlanks" dxfId="134" priority="45">
      <formula>LEN(TRIM(D12))=0</formula>
    </cfRule>
  </conditionalFormatting>
  <conditionalFormatting sqref="D20:D31">
    <cfRule type="cellIs" dxfId="133" priority="40" operator="equal">
      <formula>"Please Select"</formula>
    </cfRule>
    <cfRule type="colorScale" priority="41">
      <colorScale>
        <cfvo type="min"/>
        <cfvo type="max"/>
        <color rgb="FFFF7128"/>
        <color rgb="FFFFEF9C"/>
      </colorScale>
    </cfRule>
    <cfRule type="containsBlanks" dxfId="132" priority="42">
      <formula>LEN(TRIM(D20))=0</formula>
    </cfRule>
  </conditionalFormatting>
  <conditionalFormatting sqref="D33:D42">
    <cfRule type="colorScale" priority="35">
      <colorScale>
        <cfvo type="min"/>
        <cfvo type="max"/>
        <color rgb="FFFF7128"/>
        <color rgb="FFFFEF9C"/>
      </colorScale>
    </cfRule>
    <cfRule type="containsBlanks" dxfId="131" priority="36">
      <formula>LEN(TRIM(D33))=0</formula>
    </cfRule>
  </conditionalFormatting>
  <conditionalFormatting sqref="D33:D43">
    <cfRule type="cellIs" dxfId="130" priority="34" operator="equal">
      <formula>"Please Select"</formula>
    </cfRule>
  </conditionalFormatting>
  <conditionalFormatting sqref="D43">
    <cfRule type="colorScale" priority="38">
      <colorScale>
        <cfvo type="min"/>
        <cfvo type="max"/>
        <color rgb="FFFF7128"/>
        <color rgb="FFFFEF9C"/>
      </colorScale>
    </cfRule>
    <cfRule type="containsBlanks" dxfId="129" priority="39">
      <formula>LEN(TRIM(D43))=0</formula>
    </cfRule>
  </conditionalFormatting>
  <conditionalFormatting sqref="D45:D61">
    <cfRule type="cellIs" dxfId="128" priority="31" operator="equal">
      <formula>"Please Select"</formula>
    </cfRule>
    <cfRule type="colorScale" priority="32">
      <colorScale>
        <cfvo type="min"/>
        <cfvo type="max"/>
        <color rgb="FFFF7128"/>
        <color rgb="FFFFEF9C"/>
      </colorScale>
    </cfRule>
    <cfRule type="containsBlanks" dxfId="127" priority="33">
      <formula>LEN(TRIM(D45))=0</formula>
    </cfRule>
  </conditionalFormatting>
  <conditionalFormatting sqref="D63:D70">
    <cfRule type="cellIs" dxfId="126" priority="28" operator="equal">
      <formula>"Please Select"</formula>
    </cfRule>
    <cfRule type="colorScale" priority="29">
      <colorScale>
        <cfvo type="min"/>
        <cfvo type="max"/>
        <color rgb="FFFF7128"/>
        <color rgb="FFFFEF9C"/>
      </colorScale>
    </cfRule>
    <cfRule type="containsBlanks" dxfId="125" priority="30">
      <formula>LEN(TRIM(D63))=0</formula>
    </cfRule>
  </conditionalFormatting>
  <conditionalFormatting sqref="D72:D82">
    <cfRule type="cellIs" dxfId="124" priority="25" operator="equal">
      <formula>"Please Select"</formula>
    </cfRule>
    <cfRule type="colorScale" priority="26">
      <colorScale>
        <cfvo type="min"/>
        <cfvo type="max"/>
        <color rgb="FFFF7128"/>
        <color rgb="FFFFEF9C"/>
      </colorScale>
    </cfRule>
    <cfRule type="containsBlanks" dxfId="123" priority="27">
      <formula>LEN(TRIM(D72))=0</formula>
    </cfRule>
  </conditionalFormatting>
  <conditionalFormatting sqref="D84:D100">
    <cfRule type="cellIs" dxfId="122" priority="22" operator="equal">
      <formula>"Please Select"</formula>
    </cfRule>
    <cfRule type="colorScale" priority="23">
      <colorScale>
        <cfvo type="min"/>
        <cfvo type="max"/>
        <color rgb="FFFF7128"/>
        <color rgb="FFFFEF9C"/>
      </colorScale>
    </cfRule>
    <cfRule type="containsBlanks" dxfId="121" priority="24">
      <formula>LEN(TRIM(D84))=0</formula>
    </cfRule>
  </conditionalFormatting>
  <conditionalFormatting sqref="D102">
    <cfRule type="colorScale" priority="62">
      <colorScale>
        <cfvo type="min"/>
        <cfvo type="max"/>
        <color rgb="FFFF7128"/>
        <color rgb="FFFFEF9C"/>
      </colorScale>
    </cfRule>
    <cfRule type="containsBlanks" dxfId="120" priority="63">
      <formula>LEN(TRIM(D102))=0</formula>
    </cfRule>
  </conditionalFormatting>
  <conditionalFormatting sqref="D102:D111">
    <cfRule type="cellIs" dxfId="119" priority="19" operator="equal">
      <formula>"Please Select"</formula>
    </cfRule>
  </conditionalFormatting>
  <conditionalFormatting sqref="D103:D111">
    <cfRule type="colorScale" priority="20">
      <colorScale>
        <cfvo type="min"/>
        <cfvo type="max"/>
        <color rgb="FFFF7128"/>
        <color rgb="FFFFEF9C"/>
      </colorScale>
    </cfRule>
    <cfRule type="containsBlanks" dxfId="118" priority="21">
      <formula>LEN(TRIM(D103))=0</formula>
    </cfRule>
  </conditionalFormatting>
  <conditionalFormatting sqref="D113">
    <cfRule type="colorScale" priority="59">
      <colorScale>
        <cfvo type="min"/>
        <cfvo type="max"/>
        <color rgb="FFFF7128"/>
        <color rgb="FFFFEF9C"/>
      </colorScale>
    </cfRule>
    <cfRule type="containsBlanks" dxfId="117" priority="60">
      <formula>LEN(TRIM(D113))=0</formula>
    </cfRule>
  </conditionalFormatting>
  <conditionalFormatting sqref="D113:D127">
    <cfRule type="cellIs" dxfId="116" priority="16" operator="equal">
      <formula>"Please Select"</formula>
    </cfRule>
  </conditionalFormatting>
  <conditionalFormatting sqref="D114:D127">
    <cfRule type="colorScale" priority="17">
      <colorScale>
        <cfvo type="min"/>
        <cfvo type="max"/>
        <color rgb="FFFF7128"/>
        <color rgb="FFFFEF9C"/>
      </colorScale>
    </cfRule>
    <cfRule type="containsBlanks" dxfId="115" priority="18">
      <formula>LEN(TRIM(D114))=0</formula>
    </cfRule>
  </conditionalFormatting>
  <conditionalFormatting sqref="D129:D138">
    <cfRule type="cellIs" dxfId="114" priority="13" operator="equal">
      <formula>"Please Select"</formula>
    </cfRule>
    <cfRule type="colorScale" priority="14">
      <colorScale>
        <cfvo type="min"/>
        <cfvo type="max"/>
        <color rgb="FFFF7128"/>
        <color rgb="FFFFEF9C"/>
      </colorScale>
    </cfRule>
    <cfRule type="containsBlanks" dxfId="113" priority="15">
      <formula>LEN(TRIM(D129))=0</formula>
    </cfRule>
  </conditionalFormatting>
  <conditionalFormatting sqref="D140:D156">
    <cfRule type="cellIs" dxfId="112" priority="10" operator="equal">
      <formula>"Please Select"</formula>
    </cfRule>
    <cfRule type="colorScale" priority="11">
      <colorScale>
        <cfvo type="min"/>
        <cfvo type="max"/>
        <color rgb="FFFF7128"/>
        <color rgb="FFFFEF9C"/>
      </colorScale>
    </cfRule>
    <cfRule type="containsBlanks" dxfId="111" priority="12">
      <formula>LEN(TRIM(D140))=0</formula>
    </cfRule>
  </conditionalFormatting>
  <conditionalFormatting sqref="D158:D165">
    <cfRule type="cellIs" dxfId="110" priority="7" operator="equal">
      <formula>"Please Select"</formula>
    </cfRule>
    <cfRule type="colorScale" priority="8">
      <colorScale>
        <cfvo type="min"/>
        <cfvo type="max"/>
        <color rgb="FFFF7128"/>
        <color rgb="FFFFEF9C"/>
      </colorScale>
    </cfRule>
    <cfRule type="containsBlanks" dxfId="109" priority="9">
      <formula>LEN(TRIM(D158))=0</formula>
    </cfRule>
  </conditionalFormatting>
  <conditionalFormatting sqref="D167:D175">
    <cfRule type="cellIs" dxfId="108" priority="4" operator="equal">
      <formula>"Please Select"</formula>
    </cfRule>
    <cfRule type="colorScale" priority="5">
      <colorScale>
        <cfvo type="min"/>
        <cfvo type="max"/>
        <color rgb="FFFF7128"/>
        <color rgb="FFFFEF9C"/>
      </colorScale>
    </cfRule>
    <cfRule type="containsBlanks" dxfId="107" priority="6">
      <formula>LEN(TRIM(D167))=0</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2AEC91A-A1FC-7A48-A7F9-D24BA55085BC}">
          <x14:formula1>
            <xm:f>Lists!$B$4:$B$10</xm:f>
          </x14:formula1>
          <xm:sqref>D12:D18 D140:D156 D167:D175 D4:D10 D45:D61 D72:D82 D20:D31 D33:D43 D63:D70 D84:D100 D102:D111 D129:D138 D113:D127 D158:D165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83"/>
  <sheetViews>
    <sheetView showGridLines="0" zoomScaleNormal="100" workbookViewId="0">
      <pane ySplit="6" topLeftCell="A26" activePane="bottomLeft" state="frozen"/>
      <selection activeCell="F20" sqref="F20"/>
      <selection pane="bottomLeft" activeCell="K174" sqref="K174"/>
    </sheetView>
  </sheetViews>
  <sheetFormatPr baseColWidth="10" defaultColWidth="8.83203125" defaultRowHeight="16" outlineLevelRow="1" x14ac:dyDescent="0.2"/>
  <cols>
    <col min="1" max="1" width="3.5" style="24" customWidth="1"/>
    <col min="2" max="2" width="4.1640625" style="25" bestFit="1" customWidth="1"/>
    <col min="3" max="3" width="124.33203125" style="2" customWidth="1"/>
    <col min="4" max="5" width="7" style="2" hidden="1" customWidth="1"/>
    <col min="6" max="6" width="7" style="2" customWidth="1"/>
    <col min="7" max="7" width="9.1640625" style="2" customWidth="1"/>
    <col min="8" max="8" width="16.6640625" style="8" customWidth="1"/>
    <col min="9" max="9" width="5.83203125" style="1" customWidth="1"/>
    <col min="10" max="10" width="3.6640625" customWidth="1"/>
    <col min="11" max="11" width="40" customWidth="1"/>
    <col min="12" max="12" width="12.1640625" customWidth="1"/>
    <col min="13" max="13" width="3.6640625" customWidth="1"/>
    <col min="14" max="29" width="10.6640625" customWidth="1"/>
  </cols>
  <sheetData>
    <row r="1" spans="2:28" ht="17" thickBot="1" x14ac:dyDescent="0.25"/>
    <row r="2" spans="2:28" ht="25" customHeight="1" x14ac:dyDescent="0.25">
      <c r="B2" s="26"/>
      <c r="C2" s="9"/>
      <c r="D2" s="9"/>
      <c r="E2" s="9"/>
      <c r="F2" s="9"/>
      <c r="G2" s="9"/>
      <c r="H2" s="10"/>
      <c r="I2" s="11"/>
      <c r="K2" s="177" t="s">
        <v>309</v>
      </c>
      <c r="L2" s="178"/>
      <c r="O2" s="189" t="s">
        <v>310</v>
      </c>
      <c r="P2" s="189"/>
      <c r="Q2" s="189"/>
      <c r="R2" s="189"/>
      <c r="S2" s="189"/>
      <c r="T2" s="189"/>
      <c r="U2" s="189"/>
      <c r="V2" s="189"/>
    </row>
    <row r="3" spans="2:28" ht="25" customHeight="1" x14ac:dyDescent="0.35">
      <c r="B3" s="27" t="s">
        <v>35</v>
      </c>
      <c r="C3" s="179" t="s">
        <v>34</v>
      </c>
      <c r="I3" s="12"/>
      <c r="K3" s="33" t="s">
        <v>311</v>
      </c>
      <c r="L3" s="37"/>
      <c r="O3" s="189"/>
      <c r="P3" s="189"/>
      <c r="Q3" s="189"/>
      <c r="R3" s="189"/>
      <c r="S3" s="189"/>
      <c r="T3" s="189"/>
      <c r="U3" s="189"/>
      <c r="V3" s="189"/>
    </row>
    <row r="4" spans="2:28" ht="25" customHeight="1" x14ac:dyDescent="0.2">
      <c r="B4" s="39"/>
      <c r="C4" s="180"/>
      <c r="I4" s="12"/>
      <c r="K4" s="33" t="s">
        <v>312</v>
      </c>
      <c r="L4" s="117">
        <f>SUM(I7:I179)/(159-(COUNTIF(H7:H179,"Not Applicable")))</f>
        <v>80.29661016949153</v>
      </c>
      <c r="O4" s="189"/>
      <c r="P4" s="189"/>
      <c r="Q4" s="189"/>
      <c r="R4" s="189"/>
      <c r="S4" s="189"/>
      <c r="T4" s="189"/>
      <c r="U4" s="189"/>
      <c r="V4" s="189"/>
    </row>
    <row r="5" spans="2:28" ht="25" customHeight="1" thickBot="1" x14ac:dyDescent="0.25">
      <c r="B5" s="28"/>
      <c r="C5" s="13"/>
      <c r="D5" s="13"/>
      <c r="E5" s="13"/>
      <c r="F5" s="13"/>
      <c r="G5" s="13"/>
      <c r="H5" s="14"/>
      <c r="I5" s="15"/>
      <c r="K5" s="34" t="s">
        <v>313</v>
      </c>
      <c r="L5" s="38">
        <f>IF(L4&lt;=19,5,IF(L4&lt;=49,4,IF(L4&lt;=79,3,IF(L4&lt;=89,2,IF(L4&lt;=100,1)))))</f>
        <v>2</v>
      </c>
      <c r="N5" s="40" t="s">
        <v>35</v>
      </c>
      <c r="O5" s="189"/>
      <c r="P5" s="189"/>
      <c r="Q5" s="189"/>
      <c r="R5" s="189"/>
      <c r="S5" s="189"/>
      <c r="T5" s="189"/>
      <c r="U5" s="189"/>
      <c r="V5" s="189"/>
    </row>
    <row r="6" spans="2:28" ht="50.25" customHeight="1" thickBot="1" x14ac:dyDescent="0.25">
      <c r="B6" s="138" t="s">
        <v>38</v>
      </c>
      <c r="C6" s="137" t="s">
        <v>39</v>
      </c>
      <c r="D6" s="41" t="s">
        <v>314</v>
      </c>
      <c r="E6" s="41" t="s">
        <v>315</v>
      </c>
      <c r="F6" s="134" t="s">
        <v>316</v>
      </c>
      <c r="G6" s="135" t="s">
        <v>317</v>
      </c>
      <c r="H6" s="42" t="s">
        <v>35</v>
      </c>
      <c r="I6" s="136" t="s">
        <v>318</v>
      </c>
      <c r="O6" s="120"/>
      <c r="P6" s="120"/>
      <c r="Q6" s="120"/>
      <c r="R6" s="120"/>
      <c r="S6" s="120"/>
    </row>
    <row r="7" spans="2:28" ht="25" customHeight="1" thickBot="1" x14ac:dyDescent="0.25">
      <c r="B7" s="156" t="s">
        <v>40</v>
      </c>
      <c r="C7" s="184"/>
      <c r="D7" s="184"/>
      <c r="E7" s="184"/>
      <c r="F7" s="184"/>
      <c r="G7" s="184"/>
      <c r="H7" s="184"/>
      <c r="I7" s="185"/>
      <c r="V7" s="181" t="s">
        <v>319</v>
      </c>
      <c r="W7" s="182"/>
      <c r="X7" s="182"/>
      <c r="Y7" s="182"/>
      <c r="Z7" s="183"/>
    </row>
    <row r="8" spans="2:28" ht="25" customHeight="1" outlineLevel="1" thickBot="1" x14ac:dyDescent="0.25">
      <c r="B8" s="29">
        <v>1</v>
      </c>
      <c r="C8" s="30" t="str">
        <f>'Part 2'!C4</f>
        <v>Does the organisation have an Information Security Policy (ISP) in place?</v>
      </c>
      <c r="D8" s="48">
        <v>5</v>
      </c>
      <c r="E8" s="48">
        <f>IF(H8="Not Applicable",0,D8)</f>
        <v>5</v>
      </c>
      <c r="F8" s="48"/>
      <c r="G8" s="48"/>
      <c r="H8" s="49" t="str">
        <f>'Part 2'!D4</f>
        <v>Partially Implemented</v>
      </c>
      <c r="I8" s="17">
        <f>E8*VLOOKUP(H8,Lists!$B$4:$C$10,2,FALSE)/5</f>
        <v>50</v>
      </c>
      <c r="K8" s="43" t="s">
        <v>320</v>
      </c>
      <c r="L8" s="44" t="s">
        <v>321</v>
      </c>
      <c r="V8" s="46" t="s">
        <v>322</v>
      </c>
      <c r="W8" s="45" t="s">
        <v>323</v>
      </c>
      <c r="X8" s="45" t="s">
        <v>324</v>
      </c>
      <c r="Y8" s="45" t="s">
        <v>325</v>
      </c>
      <c r="Z8" s="47" t="s">
        <v>326</v>
      </c>
    </row>
    <row r="9" spans="2:28" ht="25" customHeight="1" outlineLevel="1" thickBot="1" x14ac:dyDescent="0.25">
      <c r="B9" s="22">
        <v>2</v>
      </c>
      <c r="C9" s="30" t="str">
        <f>'Part 2'!C5</f>
        <v>Does the ISP include security objectives at all business functions and levels?</v>
      </c>
      <c r="D9" s="20">
        <v>5</v>
      </c>
      <c r="E9" s="20">
        <f t="shared" ref="E9:E72" si="0">IF(H9="Not Applicable",0,D9)</f>
        <v>5</v>
      </c>
      <c r="F9" s="48"/>
      <c r="G9" s="48"/>
      <c r="H9" s="49" t="str">
        <f>'Part 2'!D5</f>
        <v>Partially Implemented</v>
      </c>
      <c r="I9" s="17">
        <f>E9*VLOOKUP(H9,Lists!$B$4:$C$10,2,FALSE)/5</f>
        <v>50</v>
      </c>
      <c r="K9" s="36" t="s">
        <v>40</v>
      </c>
      <c r="L9" s="118">
        <f>IFERROR(SUM(I8:I14)/(COUNTIF(H8:H14,"&lt;&gt;Not Applicable")),0)</f>
        <v>50</v>
      </c>
      <c r="V9" s="75">
        <f>SUM(COUNTIF(I7:I179,"&gt;=90"))</f>
        <v>77</v>
      </c>
      <c r="W9" s="74">
        <f>SUM(COUNTIF(I7:I179,"&gt;=80"))-COUNTIF(I7:I179,"&gt;=90")</f>
        <v>0</v>
      </c>
      <c r="X9" s="74">
        <f>SUM(COUNTIF(I7:I179,"&gt;=50"))-COUNTIF(I7:I179,"&gt;=79")</f>
        <v>30</v>
      </c>
      <c r="Y9" s="74">
        <f>SUM(COUNTIF(I7:I179,"&gt;=20"))-COUNTIF(I7:I179,"&gt;=49")</f>
        <v>6</v>
      </c>
      <c r="Z9" s="76">
        <f>SUM((COUNTIF(I7:I179,"&gt;=0"))-COUNTIF(I7:I179,"&gt;=19"))-COUNTIF(H7:H179,"=Not Applicable")</f>
        <v>5</v>
      </c>
    </row>
    <row r="10" spans="2:28" ht="25" customHeight="1" outlineLevel="1" thickBot="1" x14ac:dyDescent="0.25">
      <c r="B10" s="22">
        <v>3</v>
      </c>
      <c r="C10" s="30" t="str">
        <f>'Part 2'!C6</f>
        <v>Has the ISP been established and approved by management?</v>
      </c>
      <c r="D10" s="20">
        <v>5</v>
      </c>
      <c r="E10" s="20">
        <f t="shared" si="0"/>
        <v>5</v>
      </c>
      <c r="F10" s="48"/>
      <c r="G10" s="48"/>
      <c r="H10" s="49" t="str">
        <f>'Part 2'!D6</f>
        <v>Partially Implemented</v>
      </c>
      <c r="I10" s="17">
        <f>E10*VLOOKUP(H10,Lists!$B$4:$C$10,2,FALSE)/5</f>
        <v>50</v>
      </c>
      <c r="K10" s="33" t="s">
        <v>51</v>
      </c>
      <c r="L10" s="35">
        <f>IFERROR(SUM(I16:I22)/(COUNTIF(H16:H22,"&lt;&gt;Not Applicable")),0)</f>
        <v>85</v>
      </c>
    </row>
    <row r="11" spans="2:28" ht="25" customHeight="1" outlineLevel="1" x14ac:dyDescent="0.2">
      <c r="B11" s="22">
        <v>4</v>
      </c>
      <c r="C11" s="30" t="str">
        <f>'Part 2'!C7</f>
        <v>Has the ISP been published and communicated to all employees and relevant external parties within the supporting supply chain?</v>
      </c>
      <c r="D11" s="20">
        <v>5</v>
      </c>
      <c r="E11" s="20">
        <f t="shared" si="0"/>
        <v>5</v>
      </c>
      <c r="F11" s="48"/>
      <c r="G11" s="48"/>
      <c r="H11" s="49" t="str">
        <f>'Part 2'!D7</f>
        <v>Partially Implemented</v>
      </c>
      <c r="I11" s="17">
        <f>E11*VLOOKUP(H11,Lists!$B$4:$C$10,2,FALSE)/5</f>
        <v>50</v>
      </c>
      <c r="K11" s="33" t="s">
        <v>69</v>
      </c>
      <c r="L11" s="35">
        <f>IFERROR(SUM(I24:I35)/(COUNTIF(H24:H35,"&lt;&gt;Not Applicable")),0)</f>
        <v>70.833333333333329</v>
      </c>
      <c r="V11" s="186" t="s">
        <v>327</v>
      </c>
      <c r="W11" s="51">
        <v>5</v>
      </c>
      <c r="X11" s="63" t="str">
        <f>IF(L3=5,V9,"")</f>
        <v/>
      </c>
      <c r="Y11" s="64" t="str">
        <f>IF(L3=5,W9,"")</f>
        <v/>
      </c>
      <c r="Z11" s="131" t="str">
        <f>IF(L3=5,X9,"")</f>
        <v/>
      </c>
      <c r="AA11" s="131" t="str">
        <f>IF(L3=5,Y9,"")</f>
        <v/>
      </c>
      <c r="AB11" s="130" t="str">
        <f>IF(L3=5,Z9,"")</f>
        <v/>
      </c>
    </row>
    <row r="12" spans="2:28" ht="25" customHeight="1" outlineLevel="1" x14ac:dyDescent="0.2">
      <c r="B12" s="22">
        <v>5</v>
      </c>
      <c r="C12" s="30" t="str">
        <f>'Part 2'!C8</f>
        <v>Is the ISP reviewed at planned intervals (no longer than one year), or if significant changes occur, to evaluate continuing suitability, adequacy and effectiveness?</v>
      </c>
      <c r="D12" s="20">
        <v>5</v>
      </c>
      <c r="E12" s="20">
        <f t="shared" ref="E12" si="1">IF(H12="Not Applicable",0,D12)</f>
        <v>5</v>
      </c>
      <c r="F12" s="48"/>
      <c r="G12" s="48"/>
      <c r="H12" s="49" t="str">
        <f>'Part 2'!D8</f>
        <v>Partially Implemented</v>
      </c>
      <c r="I12" s="17">
        <f>E12*VLOOKUP(H12,Lists!$B$4:$C$10,2,FALSE)/5</f>
        <v>50</v>
      </c>
      <c r="K12" s="33" t="s">
        <v>92</v>
      </c>
      <c r="L12" s="35">
        <f>IFERROR(SUM(I37:I47)/(COUNTIF(H37:H47,"&lt;&gt;Not Applicable")),0)</f>
        <v>100</v>
      </c>
      <c r="V12" s="187"/>
      <c r="W12" s="52">
        <v>4</v>
      </c>
      <c r="X12" s="65" t="str">
        <f>IF(L3=4,V9,"")</f>
        <v/>
      </c>
      <c r="Y12" s="66" t="str">
        <f>IF(L3=4,W9,"")</f>
        <v/>
      </c>
      <c r="Z12" s="66" t="str">
        <f>IF(L3=4,X9,"")</f>
        <v/>
      </c>
      <c r="AA12" s="132" t="str">
        <f>IF(L3=4,Y9,"")</f>
        <v/>
      </c>
      <c r="AB12" s="133" t="str">
        <f>IF(L3=4,Z9,"")</f>
        <v/>
      </c>
    </row>
    <row r="13" spans="2:28" ht="25" customHeight="1" outlineLevel="1" x14ac:dyDescent="0.2">
      <c r="B13" s="22">
        <v>6</v>
      </c>
      <c r="C13" s="30" t="str">
        <f>'Part 2'!C9</f>
        <v>Has a method been established to enable individuals to confirm their acceptance of and compliance with the ISP?</v>
      </c>
      <c r="D13" s="20">
        <v>5</v>
      </c>
      <c r="E13" s="20">
        <f t="shared" si="0"/>
        <v>5</v>
      </c>
      <c r="F13" s="48"/>
      <c r="G13" s="48"/>
      <c r="H13" s="49" t="str">
        <f>'Part 2'!D9</f>
        <v>Partially Implemented</v>
      </c>
      <c r="I13" s="17">
        <f>E13*VLOOKUP(H13,Lists!$B$4:$C$10,2,FALSE)/5</f>
        <v>50</v>
      </c>
      <c r="K13" s="33" t="s">
        <v>111</v>
      </c>
      <c r="L13" s="35">
        <f>IFERROR(SUM(I49:I65)/(COUNTIF(H49:H65,"&lt;&gt;Not Applicable")),0)</f>
        <v>75</v>
      </c>
      <c r="V13" s="187"/>
      <c r="W13" s="52">
        <v>3</v>
      </c>
      <c r="X13" s="65" t="str">
        <f>IF(L3=3,V9,"")</f>
        <v/>
      </c>
      <c r="Y13" s="67" t="str">
        <f>IF(L3=3,W9,"")</f>
        <v/>
      </c>
      <c r="Z13" s="66" t="str">
        <f>IF(L3=3,X9,"")</f>
        <v/>
      </c>
      <c r="AA13" s="66" t="str">
        <f>IF(L3=3,Y9,"")</f>
        <v/>
      </c>
      <c r="AB13" s="133" t="str">
        <f>IF(L3=3,Z9,"")</f>
        <v/>
      </c>
    </row>
    <row r="14" spans="2:28" ht="25" customHeight="1" outlineLevel="1" thickBot="1" x14ac:dyDescent="0.25">
      <c r="B14" s="23">
        <v>7</v>
      </c>
      <c r="C14" s="30" t="str">
        <f>'Part 2'!C10</f>
        <v>Is the ISP supported by a suite of risk specific information/cyber security policies, for example an Access Control Policy, Acceptable Use Policy, Malware Policy etc?</v>
      </c>
      <c r="D14" s="21">
        <v>5</v>
      </c>
      <c r="E14" s="20">
        <f t="shared" si="0"/>
        <v>5</v>
      </c>
      <c r="F14" s="48"/>
      <c r="G14" s="48"/>
      <c r="H14" s="49" t="str">
        <f>'Part 2'!D10</f>
        <v>Partially Implemented</v>
      </c>
      <c r="I14" s="19">
        <f>E14*VLOOKUP(H14,Lists!$B$4:$C$10,2,FALSE)/5</f>
        <v>50</v>
      </c>
      <c r="K14" s="33" t="s">
        <v>144</v>
      </c>
      <c r="L14" s="35">
        <f>IFERROR(SUM(I67:I74)/(COUNTIF(H67:H74,"&lt;&gt;Not Applicable")),0)</f>
        <v>87.5</v>
      </c>
      <c r="V14" s="187"/>
      <c r="W14" s="52">
        <v>2</v>
      </c>
      <c r="X14" s="68" t="str">
        <f>IF(L3=2,V9,"")</f>
        <v/>
      </c>
      <c r="Y14" s="67" t="str">
        <f>IF(L3=2,W9,"")</f>
        <v/>
      </c>
      <c r="Z14" s="67" t="str">
        <f>IF(L3=2,X9,"")</f>
        <v/>
      </c>
      <c r="AA14" s="66" t="str">
        <f>IF(L3=2,Y9,"")</f>
        <v/>
      </c>
      <c r="AB14" s="69" t="str">
        <f>IF(L3=2,Z9,"")</f>
        <v/>
      </c>
    </row>
    <row r="15" spans="2:28" ht="25" customHeight="1" thickBot="1" x14ac:dyDescent="0.25">
      <c r="B15" s="156" t="s">
        <v>51</v>
      </c>
      <c r="C15" s="157" t="s">
        <v>51</v>
      </c>
      <c r="D15" s="163"/>
      <c r="E15" s="163"/>
      <c r="F15" s="163"/>
      <c r="G15" s="163"/>
      <c r="H15" s="163"/>
      <c r="I15" s="158"/>
      <c r="K15" s="33" t="s">
        <v>155</v>
      </c>
      <c r="L15" s="35">
        <f>IFERROR(SUM(I76:I86)/(COUNTIF(H76:H86,"&lt;&gt;Not Applicable")),0)</f>
        <v>100</v>
      </c>
      <c r="V15" s="188"/>
      <c r="W15" s="53">
        <v>1</v>
      </c>
      <c r="X15" s="70" t="str">
        <f>IF(L3=1,V9,"")</f>
        <v/>
      </c>
      <c r="Y15" s="71" t="str">
        <f>IF(L3=1,W9,"")</f>
        <v/>
      </c>
      <c r="Z15" s="72" t="str">
        <f>IF(L3=1,X9,"")</f>
        <v/>
      </c>
      <c r="AA15" s="72" t="str">
        <f>IF(L3=1,Y9,"")</f>
        <v/>
      </c>
      <c r="AB15" s="73" t="str">
        <f>IF(L3=1,Z9,"")</f>
        <v/>
      </c>
    </row>
    <row r="16" spans="2:28" ht="25" customHeight="1" outlineLevel="1" thickBot="1" x14ac:dyDescent="0.25">
      <c r="B16" s="29">
        <v>8</v>
      </c>
      <c r="C16" s="30" t="str">
        <f>'Part 2'!C12</f>
        <v xml:space="preserve">Does the organisation have a named and defined role that is responsible for Information Security? </v>
      </c>
      <c r="D16" s="48">
        <v>5</v>
      </c>
      <c r="E16" s="48">
        <f t="shared" si="0"/>
        <v>5</v>
      </c>
      <c r="F16" s="48"/>
      <c r="G16" s="48"/>
      <c r="H16" s="49" t="str">
        <f>'Part 2'!D12</f>
        <v>Partially Implemented</v>
      </c>
      <c r="I16" s="17">
        <f>E16*VLOOKUP(H16,Lists!$B$4:$C$10,2,FALSE)/5</f>
        <v>50</v>
      </c>
      <c r="K16" s="33" t="s">
        <v>171</v>
      </c>
      <c r="L16" s="35">
        <f>IFERROR(SUM(I88:I104)/(COUNTIF(H88:H104,"&lt;&gt;Not Applicable")),0)</f>
        <v>89.0625</v>
      </c>
      <c r="V16" s="173" t="s">
        <v>328</v>
      </c>
      <c r="W16" s="174"/>
      <c r="X16" s="54">
        <v>1</v>
      </c>
      <c r="Y16" s="55">
        <v>2</v>
      </c>
      <c r="Z16" s="55">
        <v>3</v>
      </c>
      <c r="AA16" s="55">
        <v>4</v>
      </c>
      <c r="AB16" s="19">
        <v>5</v>
      </c>
    </row>
    <row r="17" spans="2:28" ht="25" customHeight="1" outlineLevel="1" thickBot="1" x14ac:dyDescent="0.25">
      <c r="B17" s="22">
        <v>9</v>
      </c>
      <c r="C17" s="30" t="str">
        <f>'Part 2'!C13</f>
        <v xml:space="preserve">Do you manage Information Security and Information Technology separately? </v>
      </c>
      <c r="D17" s="20">
        <v>5</v>
      </c>
      <c r="E17" s="20">
        <f t="shared" si="0"/>
        <v>5</v>
      </c>
      <c r="F17" s="48"/>
      <c r="G17" s="48"/>
      <c r="H17" s="49" t="str">
        <f>'Part 2'!D13</f>
        <v>Largely implemented</v>
      </c>
      <c r="I17" s="17">
        <f>E17*VLOOKUP(H17,Lists!$B$4:$C$10,2,FALSE)/5</f>
        <v>75</v>
      </c>
      <c r="K17" s="33" t="s">
        <v>198</v>
      </c>
      <c r="L17" s="35">
        <f>IFERROR(SUM(I106:I115)/(COUNTIF(H106:H115,"&lt;&gt;Not Applicable")),0)</f>
        <v>87.5</v>
      </c>
      <c r="V17" s="175"/>
      <c r="W17" s="176"/>
      <c r="X17" s="164" t="s">
        <v>329</v>
      </c>
      <c r="Y17" s="165"/>
      <c r="Z17" s="165"/>
      <c r="AA17" s="165"/>
      <c r="AB17" s="166"/>
    </row>
    <row r="18" spans="2:28" ht="25" customHeight="1" outlineLevel="1" x14ac:dyDescent="0.2">
      <c r="B18" s="22">
        <v>10</v>
      </c>
      <c r="C18" s="30" t="str">
        <f>'Part 2'!C14</f>
        <v>Are contacts maintained with relevant authorities to help anticipate forthcoming changes in relevant laws or regulations?</v>
      </c>
      <c r="D18" s="20">
        <v>5</v>
      </c>
      <c r="E18" s="20">
        <f t="shared" si="0"/>
        <v>0</v>
      </c>
      <c r="F18" s="48"/>
      <c r="G18" s="48"/>
      <c r="H18" s="49" t="str">
        <f>'Part 2'!D14</f>
        <v>Not Applicable</v>
      </c>
      <c r="I18" s="17">
        <f>E18*VLOOKUP(H18,Lists!$B$4:$C$10,2,FALSE)/5</f>
        <v>0</v>
      </c>
      <c r="K18" s="33" t="s">
        <v>214</v>
      </c>
      <c r="L18" s="35">
        <f>IFERROR(SUM(I117:I131)/(COUNTIF(H117:H131,"&lt;&gt;Not Applicable")),0)</f>
        <v>89.583333333333329</v>
      </c>
    </row>
    <row r="19" spans="2:28" ht="25" customHeight="1" outlineLevel="1" thickBot="1" x14ac:dyDescent="0.25">
      <c r="B19" s="22">
        <v>11</v>
      </c>
      <c r="C19" s="30" t="str">
        <f>'Part 2'!C15</f>
        <v>Is Information Security addressed in project management regardless of the type of the project?</v>
      </c>
      <c r="D19" s="20">
        <v>5</v>
      </c>
      <c r="E19" s="20">
        <f t="shared" si="0"/>
        <v>5</v>
      </c>
      <c r="F19" s="48"/>
      <c r="G19" s="48"/>
      <c r="H19" s="49" t="str">
        <f>'Part 2'!D15</f>
        <v>Fully implemented</v>
      </c>
      <c r="I19" s="17">
        <f>E19*VLOOKUP(H19,Lists!$B$4:$C$10,2,FALSE)/5</f>
        <v>100</v>
      </c>
      <c r="K19" s="33" t="s">
        <v>242</v>
      </c>
      <c r="L19" s="35">
        <f>IFERROR(SUM(I133:I142)/(COUNTIF(H133:H142,"&lt;&gt;Not Applicable")),0)</f>
        <v>0</v>
      </c>
    </row>
    <row r="20" spans="2:28" ht="25" customHeight="1" outlineLevel="1" x14ac:dyDescent="0.2">
      <c r="B20" s="22">
        <v>12</v>
      </c>
      <c r="C20" s="30" t="str">
        <f>'Part 2'!C16</f>
        <v>Is a high-level working group (or equivalent) assigned responsibility for managing Information Security projects?</v>
      </c>
      <c r="D20" s="20">
        <v>5</v>
      </c>
      <c r="E20" s="20">
        <f t="shared" si="0"/>
        <v>0</v>
      </c>
      <c r="F20" s="48"/>
      <c r="G20" s="48"/>
      <c r="H20" s="49" t="str">
        <f>'Part 2'!D16</f>
        <v>Not Applicable</v>
      </c>
      <c r="I20" s="17">
        <f>E20*VLOOKUP(H20,Lists!$B$4:$C$10,2,FALSE)/5</f>
        <v>0</v>
      </c>
      <c r="K20" s="33" t="s">
        <v>330</v>
      </c>
      <c r="L20" s="35">
        <f>IFERROR(SUM(I144:I160)/(COUNTIF(H144:H160,"&lt;&gt;Not Applicable")),0)</f>
        <v>77.941176470588232</v>
      </c>
      <c r="V20" s="167" t="s">
        <v>327</v>
      </c>
      <c r="W20" s="51">
        <v>5</v>
      </c>
      <c r="X20" s="56" t="str">
        <f>IF(AND(L3=5,L5=1),"*","")</f>
        <v/>
      </c>
      <c r="Y20" s="57" t="str">
        <f>IF(AND(L3=5,L5=2),"*","")</f>
        <v/>
      </c>
      <c r="Z20" s="125" t="str">
        <f>IF(AND(L3=5,L5=3),"*","")</f>
        <v/>
      </c>
      <c r="AA20" s="125" t="str">
        <f>IF(AND(L3=5,L5=4),"*","")</f>
        <v/>
      </c>
      <c r="AB20" s="128" t="str">
        <f>IF(AND(L3=5,L5=5),"*","")</f>
        <v/>
      </c>
    </row>
    <row r="21" spans="2:28" ht="25" customHeight="1" outlineLevel="1" x14ac:dyDescent="0.2">
      <c r="B21" s="22">
        <v>13</v>
      </c>
      <c r="C21" s="30" t="str">
        <f>'Part 2'!C17</f>
        <v>Does your ISP, or a separate specific Policy, address the risks associated with remote access?</v>
      </c>
      <c r="D21" s="20">
        <v>5</v>
      </c>
      <c r="E21" s="20">
        <f t="shared" si="0"/>
        <v>5</v>
      </c>
      <c r="F21" s="48"/>
      <c r="G21" s="48"/>
      <c r="H21" s="49" t="str">
        <f>'Part 2'!D17</f>
        <v>Fully implemented</v>
      </c>
      <c r="I21" s="17">
        <f>E21*VLOOKUP(H21,Lists!$B$4:$C$10,2,FALSE)/5</f>
        <v>100</v>
      </c>
      <c r="K21" s="33" t="s">
        <v>331</v>
      </c>
      <c r="L21" s="35">
        <f>IFERROR(SUM(I162:I169)/(COUNTIF(H162:H169,"&lt;&gt;Not Applicable")),0)</f>
        <v>100</v>
      </c>
      <c r="V21" s="168"/>
      <c r="W21" s="52">
        <v>4</v>
      </c>
      <c r="X21" s="121" t="str">
        <f>IF(AND(L3=4,L5=1),"*","")</f>
        <v/>
      </c>
      <c r="Y21" s="59" t="str">
        <f>IF(AND(L3=4,L5=2),"*","")</f>
        <v/>
      </c>
      <c r="Z21" s="59" t="str">
        <f>IF(AND(L3=4,L5=3),"*","")</f>
        <v/>
      </c>
      <c r="AA21" s="126" t="str">
        <f>IF(AND(L3=4,L5=4),"*","")</f>
        <v/>
      </c>
      <c r="AB21" s="127" t="str">
        <f>IF(AND(L3=4,L5=5),"*","")</f>
        <v/>
      </c>
    </row>
    <row r="22" spans="2:28" ht="25" customHeight="1" outlineLevel="1" thickBot="1" x14ac:dyDescent="0.25">
      <c r="B22" s="23">
        <v>14</v>
      </c>
      <c r="C22" s="30" t="str">
        <f>'Part 2'!C18</f>
        <v>Does your ISP cover all devices with access to business networks, systems, or data (e.g. laptops, mobile devices) and all JLR data, regardless of IT media?</v>
      </c>
      <c r="D22" s="20">
        <v>5</v>
      </c>
      <c r="E22" s="20">
        <f t="shared" si="0"/>
        <v>5</v>
      </c>
      <c r="F22" s="48"/>
      <c r="G22" s="48"/>
      <c r="H22" s="49" t="str">
        <f>'Part 2'!D18</f>
        <v>Fully implemented</v>
      </c>
      <c r="I22" s="19">
        <f>E22*VLOOKUP(H22,Lists!$B$4:$C$10,2,FALSE)/5</f>
        <v>100</v>
      </c>
      <c r="K22" s="34" t="s">
        <v>332</v>
      </c>
      <c r="L22" s="119">
        <f>IFERROR(SUM(I171:I179)/(COUNTIF(H171:H179,"&lt;&gt;Not Applicable")),0)</f>
        <v>59.375</v>
      </c>
      <c r="V22" s="168"/>
      <c r="W22" s="52">
        <v>3</v>
      </c>
      <c r="X22" s="121" t="str">
        <f>IF(AND(L3=3,L5=1),"*","")</f>
        <v/>
      </c>
      <c r="Y22" s="122" t="str">
        <f>IF(AND(L3=3,L5=2),"*","")</f>
        <v/>
      </c>
      <c r="Z22" s="59" t="str">
        <f>IF(AND(L3=3,L5=3),"*","")</f>
        <v/>
      </c>
      <c r="AA22" s="59" t="str">
        <f>IF(AND(L3=3,L5=4),"*","")</f>
        <v/>
      </c>
      <c r="AB22" s="127" t="str">
        <f>IF(AND(L3=3,L5=5),"*","")</f>
        <v/>
      </c>
    </row>
    <row r="23" spans="2:28" ht="25" customHeight="1" thickBot="1" x14ac:dyDescent="0.25">
      <c r="B23" s="101" t="s">
        <v>69</v>
      </c>
      <c r="C23" s="109"/>
      <c r="D23" s="109"/>
      <c r="E23" s="109"/>
      <c r="F23" s="109"/>
      <c r="G23" s="109"/>
      <c r="H23" s="109"/>
      <c r="I23" s="110"/>
      <c r="V23" s="168"/>
      <c r="W23" s="52">
        <v>2</v>
      </c>
      <c r="X23" s="58" t="str">
        <f>IF(AND(L3=2,L5=1),"*","")</f>
        <v/>
      </c>
      <c r="Y23" s="122" t="str">
        <f>IF(AND(L3=2,L5=2),"*","")</f>
        <v/>
      </c>
      <c r="Z23" s="122" t="str">
        <f>IF(AND(L3=2,L5=3),"*","")</f>
        <v/>
      </c>
      <c r="AA23" s="59" t="str">
        <f>IF(AND(L3=2,L5=4),"*","")</f>
        <v/>
      </c>
      <c r="AB23" s="60" t="str">
        <f>IF(AND(L3=2,L5=5),"*","")</f>
        <v/>
      </c>
    </row>
    <row r="24" spans="2:28" ht="25" customHeight="1" outlineLevel="1" thickBot="1" x14ac:dyDescent="0.25">
      <c r="B24" s="29">
        <v>15</v>
      </c>
      <c r="C24" s="30" t="str">
        <f>'Part 2'!C20</f>
        <v xml:space="preserve">Is there an employee pre-screening policy that includes criminal, credit, professional / academic references and drug screening as allowed by local law? </v>
      </c>
      <c r="D24" s="48">
        <v>5</v>
      </c>
      <c r="E24" s="48">
        <f t="shared" si="0"/>
        <v>5</v>
      </c>
      <c r="F24" s="48"/>
      <c r="G24" s="48"/>
      <c r="H24" s="49" t="str">
        <f>'Part 2'!D20</f>
        <v>Fully implemented</v>
      </c>
      <c r="I24" s="17">
        <f>E24*VLOOKUP(H24,Lists!$B$4:$C$10,2,FALSE)/5</f>
        <v>100</v>
      </c>
      <c r="K24" s="103" t="s">
        <v>333</v>
      </c>
      <c r="L24" s="104" t="s">
        <v>35</v>
      </c>
      <c r="V24" s="169"/>
      <c r="W24" s="53">
        <v>1</v>
      </c>
      <c r="X24" s="124" t="str">
        <f>IF(AND(L3=1,L5=1),"*","")</f>
        <v/>
      </c>
      <c r="Y24" s="61" t="str">
        <f>IF(AND(L3=1,L5=2),"*","")</f>
        <v/>
      </c>
      <c r="Z24" s="123" t="str">
        <f>IF(AND(L3=1,L5=3),"*","")</f>
        <v/>
      </c>
      <c r="AA24" s="123" t="str">
        <f>IF(AND(L3=1,L5=4),"*","")</f>
        <v/>
      </c>
      <c r="AB24" s="62" t="str">
        <f>IF(AND(L3=1,L5=5),"*","")</f>
        <v/>
      </c>
    </row>
    <row r="25" spans="2:28" ht="25" customHeight="1" outlineLevel="1" thickBot="1" x14ac:dyDescent="0.25">
      <c r="B25" s="22">
        <v>16</v>
      </c>
      <c r="C25" s="30" t="str">
        <f>'Part 2'!C21</f>
        <v>Are organizational and individual responsibilities for Information Security clearly defined in the terms and conditions of employment contracts and within the job specifications?</v>
      </c>
      <c r="D25" s="20">
        <v>5</v>
      </c>
      <c r="E25" s="20">
        <f t="shared" si="0"/>
        <v>5</v>
      </c>
      <c r="F25" s="48"/>
      <c r="G25" s="48"/>
      <c r="H25" s="49" t="str">
        <f>'Part 2'!D21</f>
        <v>Fully implemented</v>
      </c>
      <c r="I25" s="17">
        <f>E25*VLOOKUP(H25,Lists!$B$4:$C$10,2,FALSE)/5</f>
        <v>100</v>
      </c>
      <c r="K25" s="103" t="s">
        <v>334</v>
      </c>
      <c r="L25" s="104"/>
      <c r="V25" s="173" t="s">
        <v>335</v>
      </c>
      <c r="W25" s="174"/>
      <c r="X25" s="54">
        <v>1</v>
      </c>
      <c r="Y25" s="55">
        <v>2</v>
      </c>
      <c r="Z25" s="55">
        <v>3</v>
      </c>
      <c r="AA25" s="55">
        <v>4</v>
      </c>
      <c r="AB25" s="19">
        <v>5</v>
      </c>
    </row>
    <row r="26" spans="2:28" ht="25" customHeight="1" outlineLevel="1" thickBot="1" x14ac:dyDescent="0.25">
      <c r="B26" s="22">
        <v>17</v>
      </c>
      <c r="C26" s="30" t="str">
        <f>'Part 2'!C22</f>
        <v>Are non-disclosure agreements current and in place with all staff who have access to organisational assets hosting customer information?</v>
      </c>
      <c r="D26" s="20">
        <v>5</v>
      </c>
      <c r="E26" s="20">
        <f t="shared" si="0"/>
        <v>5</v>
      </c>
      <c r="F26" s="48"/>
      <c r="G26" s="48"/>
      <c r="H26" s="49" t="str">
        <f>'Part 2'!D22</f>
        <v>Fully implemented</v>
      </c>
      <c r="I26" s="17">
        <f>E26*VLOOKUP(H26,Lists!$B$4:$C$10,2,FALSE)/5</f>
        <v>100</v>
      </c>
      <c r="K26" s="107" t="s">
        <v>336</v>
      </c>
      <c r="L26" s="106">
        <v>0</v>
      </c>
      <c r="V26" s="175"/>
      <c r="W26" s="176"/>
      <c r="X26" s="170" t="s">
        <v>329</v>
      </c>
      <c r="Y26" s="171"/>
      <c r="Z26" s="171"/>
      <c r="AA26" s="171"/>
      <c r="AB26" s="172"/>
    </row>
    <row r="27" spans="2:28" ht="25" customHeight="1" outlineLevel="1" x14ac:dyDescent="0.2">
      <c r="B27" s="22">
        <v>18</v>
      </c>
      <c r="C27" s="30" t="str">
        <f>'Part 2'!C23</f>
        <v>Is there training in place to ensure that employees and contractors receive appropriate Information Security awareness training and updates to organisational policies and procedures?</v>
      </c>
      <c r="D27" s="20">
        <v>5</v>
      </c>
      <c r="E27" s="20">
        <f t="shared" si="0"/>
        <v>5</v>
      </c>
      <c r="F27" s="48"/>
      <c r="G27" s="48"/>
      <c r="H27" s="49" t="str">
        <f>'Part 2'!D23</f>
        <v>Partially Implemented</v>
      </c>
      <c r="I27" s="17">
        <f>E27*VLOOKUP(H27,Lists!$B$4:$C$10,2,FALSE)/5</f>
        <v>50</v>
      </c>
      <c r="K27" s="107" t="s">
        <v>58</v>
      </c>
      <c r="L27" s="106">
        <v>0</v>
      </c>
    </row>
    <row r="28" spans="2:28" ht="25" customHeight="1" outlineLevel="1" x14ac:dyDescent="0.2">
      <c r="B28" s="22">
        <v>19</v>
      </c>
      <c r="C28" s="30" t="str">
        <f>'Part 2'!C24</f>
        <v>Is security awareness training incorporated as part of the induction process (within a maximum of four weeks after joining the organisation)?</v>
      </c>
      <c r="D28" s="20">
        <v>5</v>
      </c>
      <c r="E28" s="20">
        <f t="shared" si="0"/>
        <v>5</v>
      </c>
      <c r="F28" s="48"/>
      <c r="G28" s="48"/>
      <c r="H28" s="49" t="str">
        <f>'Part 2'!D24</f>
        <v>Partially Implemented</v>
      </c>
      <c r="I28" s="17">
        <f>E28*VLOOKUP(H28,Lists!$B$4:$C$10,2,FALSE)/5</f>
        <v>50</v>
      </c>
      <c r="K28" s="107" t="s">
        <v>81</v>
      </c>
      <c r="L28" s="106">
        <v>0</v>
      </c>
    </row>
    <row r="29" spans="2:28" ht="25" customHeight="1" outlineLevel="1" x14ac:dyDescent="0.2">
      <c r="B29" s="22">
        <v>20</v>
      </c>
      <c r="C29" s="30" t="str">
        <f>'Part 2'!C25</f>
        <v>Are all staff required to complete an annual session of security awareness training?</v>
      </c>
      <c r="D29" s="20">
        <v>5</v>
      </c>
      <c r="E29" s="20">
        <f t="shared" si="0"/>
        <v>5</v>
      </c>
      <c r="F29" s="139" t="s">
        <v>337</v>
      </c>
      <c r="G29" s="48"/>
      <c r="H29" s="49" t="str">
        <f>'Part 2'!D25</f>
        <v>Partially Implemented</v>
      </c>
      <c r="I29" s="17">
        <f>E29*VLOOKUP(H29,Lists!$B$4:$C$10,2,FALSE)/5</f>
        <v>50</v>
      </c>
      <c r="K29" s="107" t="s">
        <v>120</v>
      </c>
      <c r="L29" s="106">
        <v>25</v>
      </c>
      <c r="V29" s="161"/>
      <c r="W29" s="24"/>
      <c r="X29" s="129"/>
      <c r="Y29" s="129"/>
      <c r="Z29" s="129"/>
      <c r="AA29" s="129"/>
      <c r="AB29" s="129"/>
    </row>
    <row r="30" spans="2:28" ht="25" customHeight="1" outlineLevel="1" x14ac:dyDescent="0.2">
      <c r="B30" s="22">
        <v>21</v>
      </c>
      <c r="C30" s="30" t="str">
        <f>'Part 2'!C26</f>
        <v>Does the security awareness training include a testing component (e.g., to test employees' handling of emails, links, attachments etc.)?</v>
      </c>
      <c r="D30" s="20">
        <v>5</v>
      </c>
      <c r="E30" s="20">
        <f t="shared" si="0"/>
        <v>5</v>
      </c>
      <c r="F30" s="139" t="s">
        <v>337</v>
      </c>
      <c r="G30" s="48"/>
      <c r="H30" s="49" t="str">
        <f>'Part 2'!D26</f>
        <v>Not Implemented</v>
      </c>
      <c r="I30" s="17">
        <f>E30*VLOOKUP(H30,Lists!$B$4:$C$10,2,FALSE)/5</f>
        <v>0</v>
      </c>
      <c r="K30" s="107" t="s">
        <v>42</v>
      </c>
      <c r="L30" s="106">
        <v>50</v>
      </c>
      <c r="V30" s="161"/>
      <c r="W30" s="24"/>
      <c r="X30" s="129"/>
      <c r="Y30" s="129"/>
      <c r="Z30" s="129"/>
      <c r="AA30" s="129"/>
      <c r="AB30" s="129"/>
    </row>
    <row r="31" spans="2:28" ht="25" customHeight="1" outlineLevel="1" x14ac:dyDescent="0.2">
      <c r="B31" s="22">
        <v>22</v>
      </c>
      <c r="C31" s="30" t="str">
        <f>'Part 2'!C27</f>
        <v>Is security awareness training commensurate with differing levels of responsibilities and access?</v>
      </c>
      <c r="D31" s="20">
        <v>5</v>
      </c>
      <c r="E31" s="20">
        <f t="shared" si="0"/>
        <v>5</v>
      </c>
      <c r="F31" s="48"/>
      <c r="G31" s="48"/>
      <c r="H31" s="49" t="str">
        <f>'Part 2'!D27</f>
        <v>Fully implemented</v>
      </c>
      <c r="I31" s="17">
        <f>E31*VLOOKUP(H31,Lists!$B$4:$C$10,2,FALSE)/5</f>
        <v>100</v>
      </c>
      <c r="K31" s="107" t="s">
        <v>55</v>
      </c>
      <c r="L31" s="106">
        <v>75</v>
      </c>
      <c r="V31" s="161"/>
      <c r="W31" s="24"/>
      <c r="X31" s="129"/>
      <c r="Y31" s="129"/>
      <c r="Z31" s="129"/>
      <c r="AA31" s="129"/>
      <c r="AB31" s="129"/>
    </row>
    <row r="32" spans="2:28" ht="25" customHeight="1" outlineLevel="1" x14ac:dyDescent="0.2">
      <c r="B32" s="22">
        <v>23</v>
      </c>
      <c r="C32" s="30" t="str">
        <f>'Part 2'!C28</f>
        <v>Do employees responsible for Information Security undergo additional specific training (e.g., Information Security Operations)?</v>
      </c>
      <c r="D32" s="20">
        <v>5</v>
      </c>
      <c r="E32" s="20">
        <f t="shared" si="0"/>
        <v>5</v>
      </c>
      <c r="F32" s="48"/>
      <c r="G32" s="48"/>
      <c r="H32" s="49" t="str">
        <f>'Part 2'!D28</f>
        <v>Partially Implemented</v>
      </c>
      <c r="I32" s="17">
        <f>E32*VLOOKUP(H32,Lists!$B$4:$C$10,2,FALSE)/5</f>
        <v>50</v>
      </c>
      <c r="K32" s="107" t="s">
        <v>61</v>
      </c>
      <c r="L32" s="106">
        <v>100</v>
      </c>
      <c r="V32" s="161"/>
      <c r="W32" s="24"/>
      <c r="X32" s="129"/>
      <c r="Y32" s="129"/>
      <c r="Z32" s="129"/>
      <c r="AA32" s="129"/>
      <c r="AB32" s="129"/>
    </row>
    <row r="33" spans="2:28" ht="25" customHeight="1" outlineLevel="1" x14ac:dyDescent="0.2">
      <c r="B33" s="22">
        <v>24</v>
      </c>
      <c r="C33" s="30" t="str">
        <f>'Part 2'!C29</f>
        <v xml:space="preserve"> Is a disciplinary process, that would be invoked as a consequence of non-compliance referenced, in all relevant  policies and related training?</v>
      </c>
      <c r="D33" s="20">
        <v>5</v>
      </c>
      <c r="E33" s="20">
        <f t="shared" si="0"/>
        <v>5</v>
      </c>
      <c r="F33" s="48"/>
      <c r="G33" s="48"/>
      <c r="H33" s="49" t="str">
        <f>'Part 2'!D29</f>
        <v>Fully implemented</v>
      </c>
      <c r="I33" s="17">
        <f>E33*VLOOKUP(H33,Lists!$B$4:$C$10,2,FALSE)/5</f>
        <v>100</v>
      </c>
      <c r="V33" s="161"/>
      <c r="W33" s="24"/>
      <c r="X33" s="129"/>
      <c r="Y33" s="129"/>
      <c r="Z33" s="129"/>
      <c r="AA33" s="129"/>
      <c r="AB33" s="129"/>
    </row>
    <row r="34" spans="2:28" ht="25" customHeight="1" outlineLevel="1" x14ac:dyDescent="0.2">
      <c r="B34" s="22">
        <v>25</v>
      </c>
      <c r="C34" s="30" t="str">
        <f>'Part 2'!C30</f>
        <v>Is there a policy/documented process to ensure that HR notify security/access administration of an employee's/contractor's termination or change of status for access rights removal?</v>
      </c>
      <c r="D34" s="20">
        <v>5</v>
      </c>
      <c r="E34" s="20">
        <f t="shared" si="0"/>
        <v>5</v>
      </c>
      <c r="F34" s="48"/>
      <c r="G34" s="48"/>
      <c r="H34" s="49" t="str">
        <f>'Part 2'!D30</f>
        <v>Fully implemented</v>
      </c>
      <c r="I34" s="17">
        <f>E34*VLOOKUP(H34,Lists!$B$4:$C$10,2,FALSE)/5</f>
        <v>100</v>
      </c>
      <c r="K34" s="103" t="s">
        <v>338</v>
      </c>
      <c r="L34" s="108" t="s">
        <v>329</v>
      </c>
      <c r="V34" s="160"/>
      <c r="W34" s="160"/>
      <c r="X34" s="24"/>
      <c r="Y34" s="24"/>
      <c r="Z34" s="24"/>
      <c r="AA34" s="24"/>
      <c r="AB34" s="24"/>
    </row>
    <row r="35" spans="2:28" ht="25" customHeight="1" outlineLevel="1" thickBot="1" x14ac:dyDescent="0.25">
      <c r="B35" s="23">
        <v>26</v>
      </c>
      <c r="C35" s="30" t="str">
        <f>'Part 2'!C31</f>
        <v>Is there a policy / documented process to ensure that all employees are aware of their continuing responsibilities and duties after leaving the organisation?</v>
      </c>
      <c r="D35" s="20">
        <v>5</v>
      </c>
      <c r="E35" s="20">
        <f t="shared" si="0"/>
        <v>5</v>
      </c>
      <c r="F35" s="48"/>
      <c r="G35" s="48"/>
      <c r="H35" s="49" t="str">
        <f>'Part 2'!D31</f>
        <v>Partially Implemented</v>
      </c>
      <c r="I35" s="19">
        <f>E35*VLOOKUP(H35,Lists!$B$4:$C$10,2,FALSE)/5</f>
        <v>50</v>
      </c>
      <c r="K35" s="105" t="s">
        <v>339</v>
      </c>
      <c r="L35" s="106">
        <v>5</v>
      </c>
      <c r="V35" s="160"/>
      <c r="W35" s="160"/>
      <c r="X35" s="159"/>
      <c r="Y35" s="159"/>
      <c r="Z35" s="159"/>
      <c r="AA35" s="159"/>
      <c r="AB35" s="159"/>
    </row>
    <row r="36" spans="2:28" ht="25" customHeight="1" thickBot="1" x14ac:dyDescent="0.25">
      <c r="B36" s="101" t="s">
        <v>92</v>
      </c>
      <c r="C36" s="109"/>
      <c r="D36" s="109"/>
      <c r="E36" s="109"/>
      <c r="F36" s="109"/>
      <c r="G36" s="109"/>
      <c r="H36" s="109"/>
      <c r="I36" s="110"/>
      <c r="K36" s="105" t="s">
        <v>340</v>
      </c>
      <c r="L36" s="106">
        <v>4</v>
      </c>
      <c r="V36" s="162"/>
      <c r="W36" s="162"/>
      <c r="X36" s="162"/>
      <c r="Y36" s="162"/>
      <c r="Z36" s="162"/>
      <c r="AA36" s="162"/>
      <c r="AB36" s="162"/>
    </row>
    <row r="37" spans="2:28" ht="25" customHeight="1" outlineLevel="1" x14ac:dyDescent="0.2">
      <c r="B37" s="29">
        <v>27</v>
      </c>
      <c r="C37" s="30" t="str">
        <f>'Part 2'!C33</f>
        <v xml:space="preserve">Do you maintain registers of JLR relevant information, device and software assets? </v>
      </c>
      <c r="D37" s="48">
        <v>5</v>
      </c>
      <c r="E37" s="48">
        <f t="shared" si="0"/>
        <v>0</v>
      </c>
      <c r="F37" s="48"/>
      <c r="G37" s="48"/>
      <c r="H37" s="49" t="str">
        <f>'Part 2'!D33</f>
        <v>Not Applicable</v>
      </c>
      <c r="I37" s="17">
        <f>E37*VLOOKUP(H37,Lists!$B$4:$C$10,2,FALSE)/5</f>
        <v>0</v>
      </c>
      <c r="K37" s="105" t="s">
        <v>341</v>
      </c>
      <c r="L37" s="106">
        <v>3</v>
      </c>
    </row>
    <row r="38" spans="2:28" ht="25" customHeight="1" outlineLevel="1" x14ac:dyDescent="0.2">
      <c r="B38" s="22">
        <v>28</v>
      </c>
      <c r="C38" s="30" t="str">
        <f>'Part 2'!C34</f>
        <v>Is ownership (an authorized and responsible manager) assigned to each information asset?</v>
      </c>
      <c r="D38" s="20">
        <v>5</v>
      </c>
      <c r="E38" s="20">
        <f t="shared" si="0"/>
        <v>0</v>
      </c>
      <c r="F38" s="48"/>
      <c r="G38" s="48"/>
      <c r="H38" s="49" t="str">
        <f>'Part 2'!D34</f>
        <v>Not Applicable</v>
      </c>
      <c r="I38" s="17">
        <f>E38*VLOOKUP(H38,Lists!$B$4:$C$10,2,FALSE)/5</f>
        <v>0</v>
      </c>
      <c r="K38" s="105" t="s">
        <v>342</v>
      </c>
      <c r="L38" s="106">
        <v>2</v>
      </c>
    </row>
    <row r="39" spans="2:28" ht="25" customHeight="1" outlineLevel="1" x14ac:dyDescent="0.2">
      <c r="B39" s="22">
        <v>29</v>
      </c>
      <c r="C39" s="30" t="str">
        <f>'Part 2'!C35</f>
        <v xml:space="preserve">Is there an individual who is responsible for approving access to JLR data? </v>
      </c>
      <c r="D39" s="20">
        <v>5</v>
      </c>
      <c r="E39" s="20">
        <f t="shared" si="0"/>
        <v>0</v>
      </c>
      <c r="F39" s="48"/>
      <c r="G39" s="48"/>
      <c r="H39" s="49" t="str">
        <f>'Part 2'!D35</f>
        <v>Not Applicable</v>
      </c>
      <c r="I39" s="17">
        <f>E39*VLOOKUP(H39,Lists!$B$4:$C$10,2,FALSE)/5</f>
        <v>0</v>
      </c>
      <c r="K39" s="105" t="s">
        <v>343</v>
      </c>
      <c r="L39" s="106">
        <v>1</v>
      </c>
    </row>
    <row r="40" spans="2:28" ht="25" customHeight="1" outlineLevel="1" x14ac:dyDescent="0.2">
      <c r="B40" s="22">
        <v>30</v>
      </c>
      <c r="C40" s="30" t="str">
        <f>'Part 2'!C36</f>
        <v>Is the Information Security policy supported by detailed acceptable use policies (AUPs) that define the way in which individuals are expected to use information and systems within the organisation?</v>
      </c>
      <c r="D40" s="20">
        <v>5</v>
      </c>
      <c r="E40" s="20">
        <f t="shared" si="0"/>
        <v>5</v>
      </c>
      <c r="F40" s="48"/>
      <c r="G40" s="48"/>
      <c r="H40" s="49" t="str">
        <f>'Part 2'!D36</f>
        <v>Fully implemented</v>
      </c>
      <c r="I40" s="17">
        <f>E40*VLOOKUP(H40,Lists!$B$4:$C$10,2,FALSE)/5</f>
        <v>100</v>
      </c>
    </row>
    <row r="41" spans="2:28" ht="25" customHeight="1" outlineLevel="1" x14ac:dyDescent="0.2">
      <c r="B41" s="22">
        <v>31</v>
      </c>
      <c r="C41" s="30" t="str">
        <f>'Part 2'!C37</f>
        <v>Is there a policy/ documented process to ensure that assets (laptops, mobile phones, ID cards, user accounts, hardware, software, documents) are destroyed, returned or revoked upon employee termination?</v>
      </c>
      <c r="D41" s="20">
        <v>5</v>
      </c>
      <c r="E41" s="20">
        <f t="shared" si="0"/>
        <v>5</v>
      </c>
      <c r="F41" s="48"/>
      <c r="G41" s="48"/>
      <c r="H41" s="49" t="str">
        <f>'Part 2'!D37</f>
        <v>Fully implemented</v>
      </c>
      <c r="I41" s="17">
        <f>E41*VLOOKUP(H41,Lists!$B$4:$C$10,2,FALSE)/5</f>
        <v>100</v>
      </c>
    </row>
    <row r="42" spans="2:28" ht="25" customHeight="1" outlineLevel="1" x14ac:dyDescent="0.2">
      <c r="B42" s="22">
        <v>32</v>
      </c>
      <c r="C42" s="30" t="str">
        <f>'Part 2'!C38</f>
        <v>Is there a documented procedure that ensures that all information assets are correctly classified and aligned with the JLR classification scheme?</v>
      </c>
      <c r="D42" s="20">
        <v>5</v>
      </c>
      <c r="E42" s="20">
        <f t="shared" si="0"/>
        <v>0</v>
      </c>
      <c r="F42" s="48"/>
      <c r="G42" s="48"/>
      <c r="H42" s="49" t="str">
        <f>'Part 2'!D38</f>
        <v>Not Applicable</v>
      </c>
      <c r="I42" s="17">
        <f>E42*VLOOKUP(H42,Lists!$B$4:$C$10,2,FALSE)/5</f>
        <v>0</v>
      </c>
    </row>
    <row r="43" spans="2:28" ht="25" customHeight="1" outlineLevel="1" x14ac:dyDescent="0.2">
      <c r="B43" s="22">
        <v>33</v>
      </c>
      <c r="C43" s="30" t="str">
        <f>'Part 2'!C39</f>
        <v xml:space="preserve">Does the handling of information assets in accordance with the information classification include how assets must be; stored, transmitted, destroyed, encrypted? </v>
      </c>
      <c r="D43" s="20">
        <v>5</v>
      </c>
      <c r="E43" s="20">
        <f t="shared" si="0"/>
        <v>5</v>
      </c>
      <c r="F43" s="48"/>
      <c r="G43" s="48"/>
      <c r="H43" s="49" t="str">
        <f>'Part 2'!D39</f>
        <v>Fully implemented</v>
      </c>
      <c r="I43" s="17">
        <f>E43*VLOOKUP(H43,Lists!$B$4:$C$10,2,FALSE)/5</f>
        <v>100</v>
      </c>
    </row>
    <row r="44" spans="2:28" ht="25" customHeight="1" outlineLevel="1" x14ac:dyDescent="0.2">
      <c r="B44" s="22">
        <v>34</v>
      </c>
      <c r="C44" s="30" t="str">
        <f>'Part 2'!C40</f>
        <v xml:space="preserve">Do you have a way of separating/ labelling JLR data from other information that you store? </v>
      </c>
      <c r="D44" s="20">
        <v>5</v>
      </c>
      <c r="E44" s="20">
        <f t="shared" si="0"/>
        <v>5</v>
      </c>
      <c r="F44" s="48"/>
      <c r="G44" s="48"/>
      <c r="H44" s="49" t="str">
        <f>'Part 2'!D40</f>
        <v>Fully implemented</v>
      </c>
      <c r="I44" s="17">
        <f>E44*VLOOKUP(H44,Lists!$B$4:$C$10,2,FALSE)/5</f>
        <v>100</v>
      </c>
    </row>
    <row r="45" spans="2:28" ht="25" customHeight="1" outlineLevel="1" x14ac:dyDescent="0.2">
      <c r="B45" s="22">
        <v>35</v>
      </c>
      <c r="C45" s="30" t="str">
        <f>'Part 2'!C41</f>
        <v xml:space="preserve">Do you have any Data Loss Prevention (DLP) controls in place? </v>
      </c>
      <c r="D45" s="20">
        <v>5</v>
      </c>
      <c r="E45" s="20">
        <f t="shared" si="0"/>
        <v>5</v>
      </c>
      <c r="F45" s="48"/>
      <c r="G45" s="48"/>
      <c r="H45" s="49" t="str">
        <f>'Part 2'!D41</f>
        <v>Fully implemented</v>
      </c>
      <c r="I45" s="17">
        <f>E45*VLOOKUP(H45,Lists!$B$4:$C$10,2,FALSE)/5</f>
        <v>100</v>
      </c>
    </row>
    <row r="46" spans="2:28" ht="25" customHeight="1" outlineLevel="1" x14ac:dyDescent="0.2">
      <c r="B46" s="22">
        <v>36</v>
      </c>
      <c r="C46" s="30" t="str">
        <f>'Part 2'!C42</f>
        <v>Is there a documented procedure for the secure disposal, re-purpose and / or destruction of physical media (e.g., paper documents, CDs, DVDs, tapes, disk drives, etc.) in accordance with JLR requirements and in accordance with JLRs information classification scheme? (e.g. NIST SP-800-88)</v>
      </c>
      <c r="D46" s="20">
        <v>5</v>
      </c>
      <c r="E46" s="20">
        <f t="shared" si="0"/>
        <v>0</v>
      </c>
      <c r="F46" s="48"/>
      <c r="G46" s="48"/>
      <c r="H46" s="49" t="str">
        <f>'Part 2'!D42</f>
        <v>Not Applicable</v>
      </c>
      <c r="I46" s="17">
        <f>E46*VLOOKUP(H46,Lists!$B$4:$C$10,2,FALSE)/5</f>
        <v>0</v>
      </c>
    </row>
    <row r="47" spans="2:28" ht="25" customHeight="1" outlineLevel="1" thickBot="1" x14ac:dyDescent="0.25">
      <c r="B47" s="23">
        <v>37</v>
      </c>
      <c r="C47" s="30" t="str">
        <f>'Part 2'!C43</f>
        <v>Do you protect JLR data that is transferred or transmitted?</v>
      </c>
      <c r="D47" s="20">
        <v>5</v>
      </c>
      <c r="E47" s="20">
        <f t="shared" si="0"/>
        <v>5</v>
      </c>
      <c r="F47" s="48"/>
      <c r="G47" s="48"/>
      <c r="H47" s="49" t="str">
        <f>'Part 2'!D43</f>
        <v>Fully implemented</v>
      </c>
      <c r="I47" s="19">
        <f>E47*VLOOKUP(H47,Lists!$B$4:$C$10,2,FALSE)/5</f>
        <v>100</v>
      </c>
    </row>
    <row r="48" spans="2:28" ht="25" customHeight="1" thickBot="1" x14ac:dyDescent="0.25">
      <c r="B48" s="101" t="s">
        <v>111</v>
      </c>
      <c r="C48" s="111"/>
      <c r="D48" s="112"/>
      <c r="E48" s="112"/>
      <c r="F48" s="112"/>
      <c r="G48" s="112"/>
      <c r="H48" s="112"/>
      <c r="I48" s="113"/>
    </row>
    <row r="49" spans="2:9" ht="25" customHeight="1" outlineLevel="1" x14ac:dyDescent="0.2">
      <c r="B49" s="29">
        <v>38</v>
      </c>
      <c r="C49" s="30" t="str">
        <f>'Part 2'!C45</f>
        <v>Do you have an implemented access control policy which covers the granting and revoking of access to systems?</v>
      </c>
      <c r="D49" s="48">
        <v>5</v>
      </c>
      <c r="E49" s="48">
        <f t="shared" si="0"/>
        <v>5</v>
      </c>
      <c r="F49" s="48"/>
      <c r="G49" s="48"/>
      <c r="H49" s="49" t="str">
        <f>'Part 2'!D45</f>
        <v>Fully implemented</v>
      </c>
      <c r="I49" s="17">
        <f>E49*VLOOKUP(H49,Lists!$B$4:$C$10,2,FALSE)/5</f>
        <v>100</v>
      </c>
    </row>
    <row r="50" spans="2:9" ht="25" customHeight="1" outlineLevel="1" x14ac:dyDescent="0.2">
      <c r="B50" s="22">
        <v>39</v>
      </c>
      <c r="C50" s="30" t="str">
        <f>'Part 2'!C46</f>
        <v>Is there a documented and implemented process to ensure access rights are reviewed on a scheduled basis and removed upon termination of employment?</v>
      </c>
      <c r="D50" s="20">
        <v>5</v>
      </c>
      <c r="E50" s="20">
        <f t="shared" si="0"/>
        <v>5</v>
      </c>
      <c r="F50" s="48"/>
      <c r="G50" s="48"/>
      <c r="H50" s="49" t="str">
        <f>'Part 2'!D46</f>
        <v>Fully implemented</v>
      </c>
      <c r="I50" s="17">
        <f>E50*VLOOKUP(H50,Lists!$B$4:$C$10,2,FALSE)/5</f>
        <v>100</v>
      </c>
    </row>
    <row r="51" spans="2:9" ht="25" customHeight="1" outlineLevel="1" x14ac:dyDescent="0.2">
      <c r="B51" s="22">
        <v>40</v>
      </c>
      <c r="C51" s="30" t="str">
        <f>'Part 2'!C47</f>
        <v>Are inactive user accounts, monitored, identified, removed or disabled (either through manual or automated processes)?</v>
      </c>
      <c r="D51" s="20">
        <v>5</v>
      </c>
      <c r="E51" s="20">
        <f t="shared" si="0"/>
        <v>5</v>
      </c>
      <c r="F51" s="48"/>
      <c r="G51" s="48"/>
      <c r="H51" s="49" t="str">
        <f>'Part 2'!D47</f>
        <v>Fully implemented</v>
      </c>
      <c r="I51" s="17">
        <f>E51*VLOOKUP(H51,Lists!$B$4:$C$10,2,FALSE)/5</f>
        <v>100</v>
      </c>
    </row>
    <row r="52" spans="2:9" ht="25" customHeight="1" outlineLevel="1" x14ac:dyDescent="0.2">
      <c r="B52" s="22">
        <v>41</v>
      </c>
      <c r="C52" s="30" t="str">
        <f>'Part 2'!C48</f>
        <v>Do you review access rights on a scheduled basis using a formal process?</v>
      </c>
      <c r="D52" s="20">
        <v>5</v>
      </c>
      <c r="E52" s="20">
        <f t="shared" si="0"/>
        <v>5</v>
      </c>
      <c r="F52" s="48"/>
      <c r="G52" s="48"/>
      <c r="H52" s="49" t="str">
        <f>'Part 2'!D48</f>
        <v>Partially Implemented</v>
      </c>
      <c r="I52" s="17">
        <f>E52*VLOOKUP(H52,Lists!$B$4:$C$10,2,FALSE)/5</f>
        <v>50</v>
      </c>
    </row>
    <row r="53" spans="2:9" ht="25" customHeight="1" outlineLevel="1" x14ac:dyDescent="0.2">
      <c r="B53" s="22">
        <v>42</v>
      </c>
      <c r="C53" s="30" t="str">
        <f>'Part 2'!C49</f>
        <v>Are procedures established and maintained to prohibit the use of generic administration user accounts, according to the systems' configuration capabilities?</v>
      </c>
      <c r="D53" s="20">
        <v>5</v>
      </c>
      <c r="E53" s="20">
        <f t="shared" si="0"/>
        <v>5</v>
      </c>
      <c r="F53" s="48"/>
      <c r="G53" s="48"/>
      <c r="H53" s="49" t="str">
        <f>'Part 2'!D49</f>
        <v>Minimal Implementation</v>
      </c>
      <c r="I53" s="17">
        <f>E53*VLOOKUP(H53,Lists!$B$4:$C$10,2,FALSE)/5</f>
        <v>25</v>
      </c>
    </row>
    <row r="54" spans="2:9" ht="25" customHeight="1" outlineLevel="1" x14ac:dyDescent="0.2">
      <c r="B54" s="22">
        <v>43</v>
      </c>
      <c r="C54" s="30" t="str">
        <f>'Part 2'!C50</f>
        <v>Is an authorisation process maintained, including a record of all privileges allocated?</v>
      </c>
      <c r="D54" s="20">
        <v>5</v>
      </c>
      <c r="E54" s="20">
        <f t="shared" si="0"/>
        <v>5</v>
      </c>
      <c r="F54" s="48"/>
      <c r="G54" s="48"/>
      <c r="H54" s="49" t="str">
        <f>'Part 2'!D50</f>
        <v>Fully implemented</v>
      </c>
      <c r="I54" s="17">
        <f>E54*VLOOKUP(H54,Lists!$B$4:$C$10,2,FALSE)/5</f>
        <v>100</v>
      </c>
    </row>
    <row r="55" spans="2:9" ht="25" customHeight="1" outlineLevel="1" x14ac:dyDescent="0.2">
      <c r="B55" s="22">
        <v>44</v>
      </c>
      <c r="C55" s="30" t="str">
        <f>'Part 2'!C51</f>
        <v>Is there a documented procedure in place concerning the use of networks and network services relating to connections to sensitive and/or critical business applications?</v>
      </c>
      <c r="D55" s="20">
        <v>5</v>
      </c>
      <c r="E55" s="20">
        <f t="shared" si="0"/>
        <v>0</v>
      </c>
      <c r="F55" s="48"/>
      <c r="G55" s="48"/>
      <c r="H55" s="49" t="str">
        <f>'Part 2'!D51</f>
        <v>Not Applicable</v>
      </c>
      <c r="I55" s="17">
        <f>E55*VLOOKUP(H55,Lists!$B$4:$C$10,2,FALSE)/5</f>
        <v>0</v>
      </c>
    </row>
    <row r="56" spans="2:9" ht="25" customHeight="1" outlineLevel="1" x14ac:dyDescent="0.2">
      <c r="B56" s="22">
        <v>45</v>
      </c>
      <c r="C56" s="30" t="str">
        <f>'Part 2'!C52</f>
        <v>Do you store and monitor audit logs of access to systems containing JLR data?</v>
      </c>
      <c r="D56" s="20">
        <v>5</v>
      </c>
      <c r="E56" s="20">
        <f t="shared" si="0"/>
        <v>5</v>
      </c>
      <c r="F56" s="48"/>
      <c r="G56" s="48"/>
      <c r="H56" s="49" t="str">
        <f>'Part 2'!D52</f>
        <v>Fully implemented</v>
      </c>
      <c r="I56" s="17">
        <f>E56*VLOOKUP(H56,Lists!$B$4:$C$10,2,FALSE)/5</f>
        <v>100</v>
      </c>
    </row>
    <row r="57" spans="2:9" ht="25" customHeight="1" outlineLevel="1" x14ac:dyDescent="0.2">
      <c r="B57" s="22">
        <v>46</v>
      </c>
      <c r="C57" s="30" t="str">
        <f>'Part 2'!C53</f>
        <v>Do you operate a Joiner Mover Leaver (JML) Process which ensures that employees or subcontractors are only given access to systems based on the requirements of their role and all are issued unique login credentials?</v>
      </c>
      <c r="D57" s="20">
        <v>5</v>
      </c>
      <c r="E57" s="20">
        <f t="shared" si="0"/>
        <v>5</v>
      </c>
      <c r="F57" s="48"/>
      <c r="G57" s="48"/>
      <c r="H57" s="49" t="str">
        <f>'Part 2'!D53</f>
        <v>Minimal Implementation</v>
      </c>
      <c r="I57" s="17">
        <f>E57*VLOOKUP(H57,Lists!$B$4:$C$10,2,FALSE)/5</f>
        <v>25</v>
      </c>
    </row>
    <row r="58" spans="2:9" ht="25" customHeight="1" outlineLevel="1" x14ac:dyDescent="0.2">
      <c r="B58" s="22">
        <v>47</v>
      </c>
      <c r="C58" s="30" t="str">
        <f>'Part 2'!C54</f>
        <v>Does your JML process assign permissions to Joiners based on their role (rather than copying existing user permissions)?</v>
      </c>
      <c r="D58" s="20">
        <v>5</v>
      </c>
      <c r="E58" s="20">
        <f t="shared" si="0"/>
        <v>5</v>
      </c>
      <c r="F58" s="48"/>
      <c r="G58" s="48"/>
      <c r="H58" s="49" t="str">
        <f>'Part 2'!D54</f>
        <v>Fully implemented</v>
      </c>
      <c r="I58" s="17">
        <f>E58*VLOOKUP(H58,Lists!$B$4:$C$10,2,FALSE)/5</f>
        <v>100</v>
      </c>
    </row>
    <row r="59" spans="2:9" ht="25" customHeight="1" outlineLevel="1" x14ac:dyDescent="0.2">
      <c r="B59" s="22">
        <v>48</v>
      </c>
      <c r="C59" s="30" t="str">
        <f>'Part 2'!C55</f>
        <v>Does your JML process accommodate for employees moving into different roles within the organisation (Movers)?</v>
      </c>
      <c r="D59" s="20">
        <v>5</v>
      </c>
      <c r="E59" s="20">
        <f t="shared" si="0"/>
        <v>5</v>
      </c>
      <c r="F59" s="48"/>
      <c r="G59" s="48"/>
      <c r="H59" s="49" t="str">
        <f>'Part 2'!D55</f>
        <v>Fully implemented</v>
      </c>
      <c r="I59" s="17">
        <f>E59*VLOOKUP(H59,Lists!$B$4:$C$10,2,FALSE)/5</f>
        <v>100</v>
      </c>
    </row>
    <row r="60" spans="2:9" ht="25" customHeight="1" outlineLevel="1" x14ac:dyDescent="0.2">
      <c r="B60" s="22">
        <v>49</v>
      </c>
      <c r="C60" s="30" t="str">
        <f>'Part 2'!C56</f>
        <v>Does your JML process ensure any admin access must be gained by using an accountable escalation mechanism, e.g., Sudo or Windows Access control?</v>
      </c>
      <c r="D60" s="20">
        <v>5</v>
      </c>
      <c r="E60" s="20">
        <f t="shared" si="0"/>
        <v>5</v>
      </c>
      <c r="F60" s="139" t="s">
        <v>337</v>
      </c>
      <c r="G60" s="48"/>
      <c r="H60" s="49" t="str">
        <f>'Part 2'!D56</f>
        <v>Fully implemented</v>
      </c>
      <c r="I60" s="17">
        <f>E60*VLOOKUP(H60,Lists!$B$4:$C$10,2,FALSE)/5</f>
        <v>100</v>
      </c>
    </row>
    <row r="61" spans="2:9" ht="25" customHeight="1" outlineLevel="1" x14ac:dyDescent="0.2">
      <c r="B61" s="22">
        <v>50</v>
      </c>
      <c r="C61" s="30" t="str">
        <f>'Part 2'!C57</f>
        <v>Does your JML process ensure admin accounts are forced to use Multi-Factor Authentication (e.g., SMS, Authy, Authenticator etc.)?</v>
      </c>
      <c r="D61" s="20">
        <v>5</v>
      </c>
      <c r="E61" s="20">
        <f t="shared" si="0"/>
        <v>5</v>
      </c>
      <c r="F61" s="48"/>
      <c r="G61" s="48"/>
      <c r="H61" s="49" t="str">
        <f>'Part 2'!D57</f>
        <v>Not Implemented</v>
      </c>
      <c r="I61" s="17">
        <f>E61*VLOOKUP(H61,Lists!$B$4:$C$10,2,FALSE)/5</f>
        <v>0</v>
      </c>
    </row>
    <row r="62" spans="2:9" ht="25" customHeight="1" outlineLevel="1" x14ac:dyDescent="0.2">
      <c r="B62" s="22">
        <v>51</v>
      </c>
      <c r="C62" s="30" t="str">
        <f>'Part 2'!C58</f>
        <v>Do you have a documented and implemented Password Policy that utilises recognized practices as prescribed by NIST SP800-63B?</v>
      </c>
      <c r="D62" s="20">
        <v>5</v>
      </c>
      <c r="E62" s="20">
        <f t="shared" si="0"/>
        <v>5</v>
      </c>
      <c r="F62" s="48"/>
      <c r="G62" s="48"/>
      <c r="H62" s="49" t="str">
        <f>'Part 2'!D58</f>
        <v>Minimal Implementation</v>
      </c>
      <c r="I62" s="17">
        <f>E62*VLOOKUP(H62,Lists!$B$4:$C$10,2,FALSE)/5</f>
        <v>25</v>
      </c>
    </row>
    <row r="63" spans="2:9" ht="25" customHeight="1" outlineLevel="1" x14ac:dyDescent="0.2">
      <c r="B63" s="22">
        <v>52</v>
      </c>
      <c r="C63" s="30" t="str">
        <f>'Part 2'!C59</f>
        <v>Is password reset authority restricted to authorized persons and/or an automated password reset tool?</v>
      </c>
      <c r="D63" s="20">
        <v>5</v>
      </c>
      <c r="E63" s="20">
        <f t="shared" si="0"/>
        <v>5</v>
      </c>
      <c r="F63" s="48"/>
      <c r="G63" s="48"/>
      <c r="H63" s="49" t="str">
        <f>'Part 2'!D59</f>
        <v>Fully implemented</v>
      </c>
      <c r="I63" s="17">
        <f>E63*VLOOKUP(H63,Lists!$B$4:$C$10,2,FALSE)/5</f>
        <v>100</v>
      </c>
    </row>
    <row r="64" spans="2:9" ht="25" customHeight="1" outlineLevel="1" x14ac:dyDescent="0.2">
      <c r="B64" s="22">
        <v>53</v>
      </c>
      <c r="C64" s="30" t="str">
        <f>'Part 2'!C60</f>
        <v>Are user IDs and passwords communicated/distributed separately?</v>
      </c>
      <c r="D64" s="20">
        <v>5</v>
      </c>
      <c r="E64" s="20">
        <f t="shared" si="0"/>
        <v>5</v>
      </c>
      <c r="F64" s="48"/>
      <c r="G64" s="48"/>
      <c r="H64" s="49" t="str">
        <f>'Part 2'!D60</f>
        <v>Fully implemented</v>
      </c>
      <c r="I64" s="17">
        <f>E64*VLOOKUP(H64,Lists!$B$4:$C$10,2,FALSE)/5</f>
        <v>100</v>
      </c>
    </row>
    <row r="65" spans="2:9" ht="25" customHeight="1" outlineLevel="1" thickBot="1" x14ac:dyDescent="0.25">
      <c r="B65" s="22">
        <v>54</v>
      </c>
      <c r="C65" s="30" t="str">
        <f>'Part 2'!C61</f>
        <v>Is the use of privilege utility programs restricted and monitored?</v>
      </c>
      <c r="D65" s="20">
        <v>5</v>
      </c>
      <c r="E65" s="20">
        <f t="shared" si="0"/>
        <v>0</v>
      </c>
      <c r="F65" s="48"/>
      <c r="G65" s="48"/>
      <c r="H65" s="49" t="str">
        <f>'Part 2'!D61</f>
        <v>Not Applicable</v>
      </c>
      <c r="I65" s="17">
        <f>E65*VLOOKUP(H65,Lists!$B$4:$C$10,2,FALSE)/5</f>
        <v>0</v>
      </c>
    </row>
    <row r="66" spans="2:9" ht="25" customHeight="1" thickBot="1" x14ac:dyDescent="0.25">
      <c r="B66" s="101" t="str">
        <f>K14</f>
        <v>Cryptography</v>
      </c>
      <c r="C66" s="111"/>
      <c r="D66" s="112"/>
      <c r="E66" s="112"/>
      <c r="F66" s="112"/>
      <c r="G66" s="112"/>
      <c r="H66" s="112"/>
      <c r="I66" s="113"/>
    </row>
    <row r="67" spans="2:9" ht="25" customHeight="1" outlineLevel="1" x14ac:dyDescent="0.2">
      <c r="B67" s="29">
        <v>55</v>
      </c>
      <c r="C67" s="30" t="str">
        <f>'Part 2'!C63</f>
        <v>Does the organisation have an implemented policy on the use of cryptographic controls for the protection of customer information?</v>
      </c>
      <c r="D67" s="48">
        <v>5</v>
      </c>
      <c r="E67" s="48">
        <f t="shared" si="0"/>
        <v>5</v>
      </c>
      <c r="F67" s="48"/>
      <c r="G67" s="48"/>
      <c r="H67" s="49" t="str">
        <f>'Part 2'!D63</f>
        <v>Fully implemented</v>
      </c>
      <c r="I67" s="17">
        <f>E67*VLOOKUP(H67,Lists!$B$4:$C$10,2,FALSE)/5</f>
        <v>100</v>
      </c>
    </row>
    <row r="68" spans="2:9" ht="25" customHeight="1" outlineLevel="1" x14ac:dyDescent="0.2">
      <c r="B68" s="22">
        <v>56</v>
      </c>
      <c r="C68" s="30" t="str">
        <f>'Part 2'!C64</f>
        <v xml:space="preserve"> Are risk assessments undertaken to determine the type, strength and quality of encryption algorithm required to protect customer information?</v>
      </c>
      <c r="D68" s="20">
        <v>5</v>
      </c>
      <c r="E68" s="20">
        <f t="shared" si="0"/>
        <v>5</v>
      </c>
      <c r="F68" s="48"/>
      <c r="G68" s="48"/>
      <c r="H68" s="49" t="str">
        <f>'Part 2'!D64</f>
        <v>Minimal Implementation</v>
      </c>
      <c r="I68" s="17">
        <f>E68*VLOOKUP(H68,Lists!$B$4:$C$10,2,FALSE)/5</f>
        <v>25</v>
      </c>
    </row>
    <row r="69" spans="2:9" ht="25" customHeight="1" outlineLevel="1" x14ac:dyDescent="0.2">
      <c r="B69" s="22">
        <v>57</v>
      </c>
      <c r="C69" s="30" t="str">
        <f>'Part 2'!C65</f>
        <v>Is customer information copied to removeable media encrypted?</v>
      </c>
      <c r="D69" s="20">
        <v>5</v>
      </c>
      <c r="E69" s="20">
        <f t="shared" si="0"/>
        <v>5</v>
      </c>
      <c r="F69" s="48"/>
      <c r="G69" s="48"/>
      <c r="H69" s="49" t="str">
        <f>'Part 2'!D65</f>
        <v>Fully implemented</v>
      </c>
      <c r="I69" s="17">
        <f>E69*VLOOKUP(H69,Lists!$B$4:$C$10,2,FALSE)/5</f>
        <v>100</v>
      </c>
    </row>
    <row r="70" spans="2:9" ht="25" customHeight="1" outlineLevel="1" x14ac:dyDescent="0.2">
      <c r="B70" s="22">
        <v>58</v>
      </c>
      <c r="C70" s="30" t="str">
        <f>'Part 2'!C66</f>
        <v>Is customer information encrypted when being transmitted across networks?</v>
      </c>
      <c r="D70" s="20">
        <v>5</v>
      </c>
      <c r="E70" s="20">
        <f t="shared" si="0"/>
        <v>5</v>
      </c>
      <c r="F70" s="48"/>
      <c r="G70" s="48"/>
      <c r="H70" s="49" t="str">
        <f>'Part 2'!D66</f>
        <v>Fully implemented</v>
      </c>
      <c r="I70" s="17">
        <f>E70*VLOOKUP(H70,Lists!$B$4:$C$10,2,FALSE)/5</f>
        <v>100</v>
      </c>
    </row>
    <row r="71" spans="2:9" ht="25" customHeight="1" outlineLevel="1" x14ac:dyDescent="0.2">
      <c r="B71" s="22">
        <v>59</v>
      </c>
      <c r="C71" s="30" t="str">
        <f>'Part 2'!C67</f>
        <v>Does the organisation have an implemented policy that addresses the generation, storing, archival, retrieval, distribution, retirement and destruction of cryptographic keys?</v>
      </c>
      <c r="D71" s="20">
        <v>5</v>
      </c>
      <c r="E71" s="20">
        <f t="shared" si="0"/>
        <v>5</v>
      </c>
      <c r="F71" s="48"/>
      <c r="G71" s="48"/>
      <c r="H71" s="49" t="str">
        <f>'Part 2'!D67</f>
        <v>Fully implemented</v>
      </c>
      <c r="I71" s="17">
        <f>E71*VLOOKUP(H71,Lists!$B$4:$C$10,2,FALSE)/5</f>
        <v>100</v>
      </c>
    </row>
    <row r="72" spans="2:9" ht="25" customHeight="1" outlineLevel="1" x14ac:dyDescent="0.2">
      <c r="B72" s="22">
        <v>60</v>
      </c>
      <c r="C72" s="30" t="str">
        <f>'Part 2'!C68</f>
        <v>Does the organisation have an implemented policy that addresses the generation, storing, archival, retrieval, distribution, retirement and destruction of cryptographic keys?</v>
      </c>
      <c r="D72" s="20">
        <v>5</v>
      </c>
      <c r="E72" s="20">
        <f t="shared" si="0"/>
        <v>5</v>
      </c>
      <c r="F72" s="48"/>
      <c r="G72" s="48"/>
      <c r="H72" s="49" t="str">
        <f>'Part 2'!D68</f>
        <v>Fully implemented</v>
      </c>
      <c r="I72" s="17">
        <f>E72*VLOOKUP(H72,Lists!$B$4:$C$10,2,FALSE)/5</f>
        <v>100</v>
      </c>
    </row>
    <row r="73" spans="2:9" ht="25" customHeight="1" outlineLevel="1" x14ac:dyDescent="0.2">
      <c r="B73" s="22">
        <v>61</v>
      </c>
      <c r="C73" s="30" t="str">
        <f>'Part 2'!C69</f>
        <v>Does the implementation of the encryption policy consider the impact of using encrypted information on controls that rely on content inspection - e.g. malware detection?</v>
      </c>
      <c r="D73" s="20">
        <v>5</v>
      </c>
      <c r="E73" s="20">
        <f t="shared" ref="E73:E74" si="2">IF(H73="Not Applicable",0,D73)</f>
        <v>0</v>
      </c>
      <c r="F73" s="48"/>
      <c r="G73" s="48"/>
      <c r="H73" s="49" t="str">
        <f>'Part 2'!D69</f>
        <v>Not Applicable</v>
      </c>
      <c r="I73" s="17">
        <f>E73*VLOOKUP(H73,Lists!$B$4:$C$10,2,FALSE)/5</f>
        <v>0</v>
      </c>
    </row>
    <row r="74" spans="2:9" ht="25" customHeight="1" outlineLevel="1" thickBot="1" x14ac:dyDescent="0.25">
      <c r="B74" s="22">
        <v>62</v>
      </c>
      <c r="C74" s="30" t="str">
        <f>'Part 2'!C70</f>
        <v>Does the implementation of the encryption policy account for regulations and national restrictions that might apply to the use of cryptographic techniques and the issues of cross-border flow of customer encrypted information?</v>
      </c>
      <c r="D74" s="20">
        <v>5</v>
      </c>
      <c r="E74" s="20">
        <f t="shared" si="2"/>
        <v>0</v>
      </c>
      <c r="F74" s="48"/>
      <c r="G74" s="48"/>
      <c r="H74" s="49" t="str">
        <f>'Part 2'!D70</f>
        <v>Not Applicable</v>
      </c>
      <c r="I74" s="17">
        <f>E74*VLOOKUP(H74,Lists!$B$4:$C$10,2,FALSE)/5</f>
        <v>0</v>
      </c>
    </row>
    <row r="75" spans="2:9" ht="25" customHeight="1" thickBot="1" x14ac:dyDescent="0.25">
      <c r="B75" s="101" t="str">
        <f>K15</f>
        <v xml:space="preserve">Physical and Environmental Security </v>
      </c>
      <c r="C75" s="111"/>
      <c r="D75" s="112"/>
      <c r="E75" s="112"/>
      <c r="F75" s="112"/>
      <c r="G75" s="112"/>
      <c r="H75" s="112"/>
      <c r="I75" s="113"/>
    </row>
    <row r="76" spans="2:9" ht="25" customHeight="1" outlineLevel="1" x14ac:dyDescent="0.2">
      <c r="B76" s="29">
        <v>63</v>
      </c>
      <c r="C76" s="30" t="str">
        <f>'Part 2'!C72</f>
        <v>Is there a physical security program approved by management, communicated to all employees and relevant parties, and has an owner assigned to maintain and review?</v>
      </c>
      <c r="D76" s="48">
        <v>5</v>
      </c>
      <c r="E76" s="48">
        <f t="shared" ref="E76:E86" si="3">IF(H76="Not Applicable",0,D76)</f>
        <v>0</v>
      </c>
      <c r="F76" s="48"/>
      <c r="G76" s="48"/>
      <c r="H76" s="49" t="str">
        <f>'Part 2'!D72</f>
        <v>Not Applicable</v>
      </c>
      <c r="I76" s="17">
        <f>E76*VLOOKUP(H76,Lists!$B$4:$C$10,2,FALSE)/5</f>
        <v>0</v>
      </c>
    </row>
    <row r="77" spans="2:9" ht="25" customHeight="1" outlineLevel="1" x14ac:dyDescent="0.2">
      <c r="B77" s="22">
        <v>64</v>
      </c>
      <c r="C77" s="30" t="str">
        <f>'Part 2'!C73</f>
        <v xml:space="preserve"> Are physical security perimeters defined and used to protect areas at all locations that contain JLR information?</v>
      </c>
      <c r="D77" s="20">
        <v>5</v>
      </c>
      <c r="E77" s="20">
        <f t="shared" si="3"/>
        <v>0</v>
      </c>
      <c r="F77" s="48"/>
      <c r="G77" s="48"/>
      <c r="H77" s="49" t="str">
        <f>'Part 2'!D73</f>
        <v>Not Applicable</v>
      </c>
      <c r="I77" s="17">
        <f>E77*VLOOKUP(H77,Lists!$B$4:$C$10,2,FALSE)/5</f>
        <v>0</v>
      </c>
    </row>
    <row r="78" spans="2:9" ht="25" customHeight="1" outlineLevel="1" x14ac:dyDescent="0.2">
      <c r="B78" s="22">
        <v>65</v>
      </c>
      <c r="C78" s="30" t="str">
        <f>'Part 2'!C74</f>
        <v>Is access to areas where JLR  information is processed or stored logged in a physical book or an electronic audit trail maintained?</v>
      </c>
      <c r="D78" s="20">
        <v>5</v>
      </c>
      <c r="E78" s="20">
        <f t="shared" si="3"/>
        <v>0</v>
      </c>
      <c r="F78" s="48"/>
      <c r="G78" s="48"/>
      <c r="H78" s="49" t="str">
        <f>'Part 2'!D74</f>
        <v>Not Applicable</v>
      </c>
      <c r="I78" s="17">
        <f>E78*VLOOKUP(H78,Lists!$B$4:$C$10,2,FALSE)/5</f>
        <v>0</v>
      </c>
    </row>
    <row r="79" spans="2:9" ht="25" customHeight="1" outlineLevel="1" x14ac:dyDescent="0.2">
      <c r="B79" s="22">
        <v>66</v>
      </c>
      <c r="C79" s="30" t="str">
        <f>'Part 2'!C75</f>
        <v>Is access to areas where JLR information is processed or stored controlled by appropriate access controls - i.e. key card, token, fob, biometric reader, etc.?</v>
      </c>
      <c r="D79" s="20">
        <v>5</v>
      </c>
      <c r="E79" s="20">
        <f t="shared" si="3"/>
        <v>0</v>
      </c>
      <c r="F79" s="48"/>
      <c r="G79" s="48"/>
      <c r="H79" s="49" t="str">
        <f>'Part 2'!D75</f>
        <v>Not Applicable</v>
      </c>
      <c r="I79" s="17">
        <f>E79*VLOOKUP(H79,Lists!$B$4:$C$10,2,FALSE)/5</f>
        <v>0</v>
      </c>
    </row>
    <row r="80" spans="2:9" ht="25" customHeight="1" outlineLevel="1" x14ac:dyDescent="0.2">
      <c r="B80" s="22">
        <v>67</v>
      </c>
      <c r="C80" s="30" t="str">
        <f>'Part 2'!C76</f>
        <v>Are entry and exit doors alarmed (forced entry, propped open) and/or monitored by security guards for areas where JLR information is stored or processed?</v>
      </c>
      <c r="D80" s="20">
        <v>5</v>
      </c>
      <c r="E80" s="20">
        <f t="shared" si="3"/>
        <v>0</v>
      </c>
      <c r="F80" s="48"/>
      <c r="G80" s="48"/>
      <c r="H80" s="49" t="str">
        <f>'Part 2'!D76</f>
        <v>Not Applicable</v>
      </c>
      <c r="I80" s="17">
        <f>E80*VLOOKUP(H80,Lists!$B$4:$C$10,2,FALSE)/5</f>
        <v>0</v>
      </c>
    </row>
    <row r="81" spans="2:9" ht="25" customHeight="1" outlineLevel="1" x14ac:dyDescent="0.2">
      <c r="B81" s="22">
        <v>68</v>
      </c>
      <c r="C81" s="30" t="str">
        <f>'Part 2'!C77</f>
        <v>Are all staff, contractors and visitors required to immediately report a lost or stolen access card that would provide access to area where JLR information is processed or stored?</v>
      </c>
      <c r="D81" s="20">
        <v>5</v>
      </c>
      <c r="E81" s="20">
        <f t="shared" si="3"/>
        <v>0</v>
      </c>
      <c r="F81" s="48"/>
      <c r="G81" s="48"/>
      <c r="H81" s="49" t="str">
        <f>'Part 2'!D77</f>
        <v>Not Applicable</v>
      </c>
      <c r="I81" s="17">
        <f>E81*VLOOKUP(H81,Lists!$B$4:$C$10,2,FALSE)/5</f>
        <v>0</v>
      </c>
    </row>
    <row r="82" spans="2:9" ht="25" customHeight="1" outlineLevel="1" x14ac:dyDescent="0.2">
      <c r="B82" s="22">
        <v>69</v>
      </c>
      <c r="C82" s="30" t="str">
        <f>'Part 2'!C78</f>
        <v>Are visitors required to produce identification, such as a driving License or Passport etc., before being granted access to areas where JLR information is stored or processed?</v>
      </c>
      <c r="D82" s="20">
        <v>5</v>
      </c>
      <c r="E82" s="20">
        <f t="shared" si="3"/>
        <v>0</v>
      </c>
      <c r="F82" s="48"/>
      <c r="G82" s="48"/>
      <c r="H82" s="49" t="str">
        <f>'Part 2'!D78</f>
        <v>Not Applicable</v>
      </c>
      <c r="I82" s="17">
        <f>E82*VLOOKUP(H82,Lists!$B$4:$C$10,2,FALSE)/5</f>
        <v>0</v>
      </c>
    </row>
    <row r="83" spans="2:9" ht="25" customHeight="1" outlineLevel="1" x14ac:dyDescent="0.2">
      <c r="B83" s="22">
        <v>70</v>
      </c>
      <c r="C83" s="30" t="str">
        <f>'Part 2'!C79</f>
        <v>Are visitors to areas where JLR information is processed or stored escorted at all times?</v>
      </c>
      <c r="D83" s="20">
        <v>5</v>
      </c>
      <c r="E83" s="20">
        <f t="shared" si="3"/>
        <v>0</v>
      </c>
      <c r="F83" s="48"/>
      <c r="G83" s="48"/>
      <c r="H83" s="49" t="str">
        <f>'Part 2'!D79</f>
        <v>Not Applicable</v>
      </c>
      <c r="I83" s="17">
        <f>E83*VLOOKUP(H83,Lists!$B$4:$C$10,2,FALSE)/5</f>
        <v>0</v>
      </c>
    </row>
    <row r="84" spans="2:9" ht="25" customHeight="1" outlineLevel="1" x14ac:dyDescent="0.2">
      <c r="B84" s="22">
        <v>71</v>
      </c>
      <c r="C84" s="30" t="str">
        <f>'Part 2'!C80</f>
        <v>Do you or your subcontractors operate procedures for logging and tracking hardware containing JLR data being taken off-site?</v>
      </c>
      <c r="D84" s="20">
        <v>5</v>
      </c>
      <c r="E84" s="20">
        <f t="shared" si="3"/>
        <v>0</v>
      </c>
      <c r="F84" s="48"/>
      <c r="G84" s="48"/>
      <c r="H84" s="49" t="str">
        <f>'Part 2'!D80</f>
        <v>Not Applicable</v>
      </c>
      <c r="I84" s="17">
        <f>E84*VLOOKUP(H84,Lists!$B$4:$C$10,2,FALSE)/5</f>
        <v>0</v>
      </c>
    </row>
    <row r="85" spans="2:9" ht="25" customHeight="1" outlineLevel="1" x14ac:dyDescent="0.2">
      <c r="B85" s="22">
        <v>72</v>
      </c>
      <c r="C85" s="30" t="str">
        <f>'Part 2'!C81</f>
        <v>Do you operate and technically enforce a 'Clear Screen' policy requiring that computers and terminals should be left logged off or protected with a screen and keyboard locking mechanisms controlled by a password, token or similar user authentication mechanism when unattended?</v>
      </c>
      <c r="D85" s="20">
        <v>5</v>
      </c>
      <c r="E85" s="20">
        <f t="shared" si="3"/>
        <v>5</v>
      </c>
      <c r="F85" s="48"/>
      <c r="G85" s="48"/>
      <c r="H85" s="49" t="str">
        <f>'Part 2'!D81</f>
        <v>Fully implemented</v>
      </c>
      <c r="I85" s="17">
        <f>E85*VLOOKUP(H85,Lists!$B$4:$C$10,2,FALSE)/5</f>
        <v>100</v>
      </c>
    </row>
    <row r="86" spans="2:9" ht="25" customHeight="1" outlineLevel="1" thickBot="1" x14ac:dyDescent="0.25">
      <c r="B86" s="22">
        <v>73</v>
      </c>
      <c r="C86" s="30" t="str">
        <f>'Part 2'!C82</f>
        <v>Do you operate a clear desk policy that requires sensitive business information, on paper or electronic storage media, is locked away (ideally in a safe or cabinet or other forms of security furniture) when not required, especially when the area is vacated?</v>
      </c>
      <c r="D86" s="20">
        <v>5</v>
      </c>
      <c r="E86" s="20">
        <f t="shared" si="3"/>
        <v>5</v>
      </c>
      <c r="F86" s="48"/>
      <c r="G86" s="48"/>
      <c r="H86" s="49" t="str">
        <f>'Part 2'!D82</f>
        <v>Fully implemented</v>
      </c>
      <c r="I86" s="19">
        <f>E86*VLOOKUP(H86,Lists!$B$4:$C$10,2,FALSE)/5</f>
        <v>100</v>
      </c>
    </row>
    <row r="87" spans="2:9" ht="25" customHeight="1" thickBot="1" x14ac:dyDescent="0.25">
      <c r="B87" s="101" t="str">
        <f>K16</f>
        <v>Operations Security</v>
      </c>
      <c r="C87" s="111"/>
      <c r="D87" s="112"/>
      <c r="E87" s="112"/>
      <c r="F87" s="112"/>
      <c r="G87" s="112"/>
      <c r="H87" s="112"/>
      <c r="I87" s="113"/>
    </row>
    <row r="88" spans="2:9" ht="25" customHeight="1" outlineLevel="1" x14ac:dyDescent="0.2">
      <c r="B88" s="29">
        <v>74</v>
      </c>
      <c r="C88" s="30" t="str">
        <f>'Part 2'!C84</f>
        <v>Do you have a documented and implemented hardening/standard build with security controls for servers, desktops, and VMs</v>
      </c>
      <c r="D88" s="48">
        <v>5</v>
      </c>
      <c r="E88" s="48">
        <f t="shared" ref="E88:E104" si="4">IF(H88="Not Applicable",0,D88)</f>
        <v>5</v>
      </c>
      <c r="F88" s="48"/>
      <c r="G88" s="48"/>
      <c r="H88" s="49" t="str">
        <f>'Part 2'!D84</f>
        <v>Partially Implemented</v>
      </c>
      <c r="I88" s="17">
        <f>E88*VLOOKUP(H88,Lists!$B$4:$C$10,2,FALSE)/5</f>
        <v>50</v>
      </c>
    </row>
    <row r="89" spans="2:9" ht="25" customHeight="1" outlineLevel="1" x14ac:dyDescent="0.2">
      <c r="B89" s="22">
        <v>75</v>
      </c>
      <c r="C89" s="30" t="str">
        <f>'Part 2'!C85</f>
        <v xml:space="preserve">Does the hardening/standard build ensure vendor default password(s) are changed and un-needed ports, protocols and services etc. are disabled? </v>
      </c>
      <c r="D89" s="20">
        <v>5</v>
      </c>
      <c r="E89" s="20">
        <f t="shared" si="4"/>
        <v>5</v>
      </c>
      <c r="F89" s="48"/>
      <c r="G89" s="48"/>
      <c r="H89" s="49" t="str">
        <f>'Part 2'!D85</f>
        <v>Fully implemented</v>
      </c>
      <c r="I89" s="17">
        <f>E89*VLOOKUP(H89,Lists!$B$4:$C$10,2,FALSE)/5</f>
        <v>100</v>
      </c>
    </row>
    <row r="90" spans="2:9" ht="25" customHeight="1" outlineLevel="1" x14ac:dyDescent="0.2">
      <c r="B90" s="22">
        <v>76</v>
      </c>
      <c r="C90" s="30" t="str">
        <f>'Part 2'!C86</f>
        <v xml:space="preserve">Is there a change management procedure in place to cover changes to the organisation, business processes, network, hardware and information systems? </v>
      </c>
      <c r="D90" s="20">
        <v>5</v>
      </c>
      <c r="E90" s="20">
        <f t="shared" si="4"/>
        <v>5</v>
      </c>
      <c r="F90" s="48"/>
      <c r="G90" s="48"/>
      <c r="H90" s="49" t="str">
        <f>'Part 2'!D86</f>
        <v>Largely implemented</v>
      </c>
      <c r="I90" s="17">
        <f>E90*VLOOKUP(H90,Lists!$B$4:$C$10,2,FALSE)/5</f>
        <v>75</v>
      </c>
    </row>
    <row r="91" spans="2:9" ht="25" customHeight="1" outlineLevel="1" x14ac:dyDescent="0.2">
      <c r="B91" s="22">
        <v>77</v>
      </c>
      <c r="C91" s="30" t="str">
        <f>'Part 2'!C87</f>
        <v>Are all changes subject to a review and approval process?</v>
      </c>
      <c r="D91" s="20">
        <v>5</v>
      </c>
      <c r="E91" s="20">
        <f t="shared" si="4"/>
        <v>5</v>
      </c>
      <c r="F91" s="48"/>
      <c r="G91" s="48"/>
      <c r="H91" s="49" t="str">
        <f>'Part 2'!D87</f>
        <v>Fully implemented</v>
      </c>
      <c r="I91" s="17">
        <f>E91*VLOOKUP(H91,Lists!$B$4:$C$10,2,FALSE)/5</f>
        <v>100</v>
      </c>
    </row>
    <row r="92" spans="2:9" ht="25" customHeight="1" outlineLevel="1" x14ac:dyDescent="0.2">
      <c r="B92" s="22">
        <v>78</v>
      </c>
      <c r="C92" s="30" t="str">
        <f>'Part 2'!C88</f>
        <v>Do you operate a vulnerability management process that ensures the timely patching of your computers and applications?</v>
      </c>
      <c r="D92" s="20">
        <v>5</v>
      </c>
      <c r="E92" s="20">
        <f t="shared" si="4"/>
        <v>5</v>
      </c>
      <c r="F92" s="139" t="s">
        <v>337</v>
      </c>
      <c r="G92" s="48"/>
      <c r="H92" s="49" t="str">
        <f>'Part 2'!D88</f>
        <v>Fully implemented</v>
      </c>
      <c r="I92" s="17">
        <f>E92*VLOOKUP(H92,Lists!$B$4:$C$10,2,FALSE)/5</f>
        <v>100</v>
      </c>
    </row>
    <row r="93" spans="2:9" ht="25" customHeight="1" outlineLevel="1" x14ac:dyDescent="0.2">
      <c r="B93" s="22">
        <v>79</v>
      </c>
      <c r="C93" s="30" t="str">
        <f>'Part 2'!C89</f>
        <v>Have you deployed anti-malware/anti-virus software that is updated regularly on all endpoints and servers?</v>
      </c>
      <c r="D93" s="20">
        <v>5</v>
      </c>
      <c r="E93" s="20">
        <f t="shared" si="4"/>
        <v>5</v>
      </c>
      <c r="F93" s="139" t="s">
        <v>337</v>
      </c>
      <c r="G93" s="48"/>
      <c r="H93" s="49" t="str">
        <f>'Part 2'!D89</f>
        <v>Fully implemented</v>
      </c>
      <c r="I93" s="17">
        <f>E93*VLOOKUP(H93,Lists!$B$4:$C$10,2,FALSE)/5</f>
        <v>100</v>
      </c>
    </row>
    <row r="94" spans="2:9" ht="25" customHeight="1" outlineLevel="1" x14ac:dyDescent="0.2">
      <c r="B94" s="22">
        <v>80</v>
      </c>
      <c r="C94" s="30" t="str">
        <f>'Part 2'!C90</f>
        <v>Are files received via email/download scanned when they enter the network?</v>
      </c>
      <c r="D94" s="20">
        <v>5</v>
      </c>
      <c r="E94" s="20">
        <f t="shared" si="4"/>
        <v>5</v>
      </c>
      <c r="F94" s="48"/>
      <c r="G94" s="48"/>
      <c r="H94" s="49" t="str">
        <f>'Part 2'!D90</f>
        <v>Fully implemented</v>
      </c>
      <c r="I94" s="17">
        <f>E94*VLOOKUP(H94,Lists!$B$4:$C$10,2,FALSE)/5</f>
        <v>100</v>
      </c>
    </row>
    <row r="95" spans="2:9" ht="25" customHeight="1" outlineLevel="1" x14ac:dyDescent="0.2">
      <c r="B95" s="22">
        <v>81</v>
      </c>
      <c r="C95" s="30" t="str">
        <f>'Part 2'!C91</f>
        <v>Are IT systems that host JLR information regularly backed up?</v>
      </c>
      <c r="D95" s="20">
        <v>5</v>
      </c>
      <c r="E95" s="20">
        <f t="shared" si="4"/>
        <v>5</v>
      </c>
      <c r="F95" s="48"/>
      <c r="G95" s="48"/>
      <c r="H95" s="49" t="str">
        <f>'Part 2'!D91</f>
        <v>Fully implemented</v>
      </c>
      <c r="I95" s="17">
        <f>E95*VLOOKUP(H95,Lists!$B$4:$C$10,2,FALSE)/5</f>
        <v>100</v>
      </c>
    </row>
    <row r="96" spans="2:9" ht="25" customHeight="1" outlineLevel="1" x14ac:dyDescent="0.2">
      <c r="B96" s="22">
        <v>82</v>
      </c>
      <c r="C96" s="30" t="str">
        <f>'Part 2'!C92</f>
        <v>Do back-up controls ensure that the availability of JLR information can be sustained in line with JLR's business requirements.</v>
      </c>
      <c r="D96" s="20">
        <v>5</v>
      </c>
      <c r="E96" s="20">
        <f t="shared" si="4"/>
        <v>5</v>
      </c>
      <c r="F96" s="48"/>
      <c r="G96" s="48"/>
      <c r="H96" s="49" t="str">
        <f>'Part 2'!D92</f>
        <v>Fully implemented</v>
      </c>
      <c r="I96" s="17">
        <f>E96*VLOOKUP(H96,Lists!$B$4:$C$10,2,FALSE)/5</f>
        <v>100</v>
      </c>
    </row>
    <row r="97" spans="2:9" ht="25" customHeight="1" outlineLevel="1" x14ac:dyDescent="0.2">
      <c r="B97" s="22">
        <v>83</v>
      </c>
      <c r="C97" s="30" t="str">
        <f>'Part 2'!C93</f>
        <v>In the case of JLR relevant systems and services, do backup arrangements cover all systems information, applications and data necessary to recover the complete system?</v>
      </c>
      <c r="D97" s="20">
        <v>5</v>
      </c>
      <c r="E97" s="20">
        <f t="shared" si="4"/>
        <v>5</v>
      </c>
      <c r="F97" s="48"/>
      <c r="G97" s="139" t="s">
        <v>337</v>
      </c>
      <c r="H97" s="49" t="str">
        <f>'Part 2'!D93</f>
        <v>Fully implemented</v>
      </c>
      <c r="I97" s="17">
        <f>E97*VLOOKUP(H97,Lists!$B$4:$C$10,2,FALSE)/5</f>
        <v>100</v>
      </c>
    </row>
    <row r="98" spans="2:9" ht="25" customHeight="1" outlineLevel="1" x14ac:dyDescent="0.2">
      <c r="B98" s="22">
        <v>84</v>
      </c>
      <c r="C98" s="30" t="str">
        <f>'Part 2'!C94</f>
        <v>Are system administrators and operators' activities monitored and logged in a non-modifiable way?</v>
      </c>
      <c r="D98" s="20">
        <v>5</v>
      </c>
      <c r="E98" s="20">
        <f t="shared" si="4"/>
        <v>5</v>
      </c>
      <c r="F98" s="48"/>
      <c r="G98" s="48"/>
      <c r="H98" s="49" t="str">
        <f>'Part 2'!D94</f>
        <v>Fully implemented</v>
      </c>
      <c r="I98" s="17">
        <f>E98*VLOOKUP(H98,Lists!$B$4:$C$10,2,FALSE)/5</f>
        <v>100</v>
      </c>
    </row>
    <row r="99" spans="2:9" ht="25" customHeight="1" outlineLevel="1" x14ac:dyDescent="0.2">
      <c r="B99" s="22">
        <v>85</v>
      </c>
      <c r="C99" s="30" t="str">
        <f>'Part 2'!C95</f>
        <v>Are resources monitored and projections made with customer involvement of future capacity requirements?</v>
      </c>
      <c r="D99" s="20">
        <v>5</v>
      </c>
      <c r="E99" s="20">
        <f t="shared" si="4"/>
        <v>0</v>
      </c>
      <c r="F99" s="48"/>
      <c r="G99" s="48"/>
      <c r="H99" s="49" t="str">
        <f>'Part 2'!D95</f>
        <v>Not Applicable</v>
      </c>
      <c r="I99" s="17">
        <f>E99*VLOOKUP(H99,Lists!$B$4:$C$10,2,FALSE)/5</f>
        <v>0</v>
      </c>
    </row>
    <row r="100" spans="2:9" ht="25" customHeight="1" outlineLevel="1" x14ac:dyDescent="0.2">
      <c r="B100" s="22">
        <v>86</v>
      </c>
      <c r="C100" s="30" t="str">
        <f>'Part 2'!C96</f>
        <v xml:space="preserve">Do you have hardening standards in place to ensure vendor default password are changed and un-needed ports, protocols and services etc. are disabled? </v>
      </c>
      <c r="D100" s="20">
        <v>5</v>
      </c>
      <c r="E100" s="20">
        <f t="shared" si="4"/>
        <v>5</v>
      </c>
      <c r="F100" s="48"/>
      <c r="G100" s="48"/>
      <c r="H100" s="49" t="str">
        <f>'Part 2'!D96</f>
        <v>Fully implemented</v>
      </c>
      <c r="I100" s="17">
        <f>E100*VLOOKUP(H100,Lists!$B$4:$C$10,2,FALSE)/5</f>
        <v>100</v>
      </c>
    </row>
    <row r="101" spans="2:9" ht="25" customHeight="1" outlineLevel="1" x14ac:dyDescent="0.2">
      <c r="B101" s="22">
        <v>87</v>
      </c>
      <c r="C101" s="30" t="str">
        <f>'Part 2'!C97</f>
        <v>Are your hardening standards enforced across all JLR relevant systems?</v>
      </c>
      <c r="D101" s="20">
        <v>5</v>
      </c>
      <c r="E101" s="20">
        <f t="shared" si="4"/>
        <v>5</v>
      </c>
      <c r="F101" s="48"/>
      <c r="G101" s="48"/>
      <c r="H101" s="49" t="str">
        <f>'Part 2'!D97</f>
        <v>Fully implemented</v>
      </c>
      <c r="I101" s="17">
        <f>E101*VLOOKUP(H101,Lists!$B$4:$C$10,2,FALSE)/5</f>
        <v>100</v>
      </c>
    </row>
    <row r="102" spans="2:9" ht="25" customHeight="1" outlineLevel="1" x14ac:dyDescent="0.2">
      <c r="B102" s="22">
        <v>88</v>
      </c>
      <c r="C102" s="30" t="str">
        <f>'Part 2'!C98</f>
        <v>Are there controls that prevent or detect the use of known or suspected malicious websites (for example, website blacklisting)?</v>
      </c>
      <c r="D102" s="20">
        <v>5</v>
      </c>
      <c r="E102" s="20">
        <f t="shared" si="4"/>
        <v>5</v>
      </c>
      <c r="F102" s="48"/>
      <c r="G102" s="48"/>
      <c r="H102" s="49" t="str">
        <f>'Part 2'!D98</f>
        <v>Not Implemented</v>
      </c>
      <c r="I102" s="17">
        <f>E102*VLOOKUP(H102,Lists!$B$4:$C$10,2,FALSE)/5</f>
        <v>0</v>
      </c>
    </row>
    <row r="103" spans="2:9" ht="25" customHeight="1" outlineLevel="1" x14ac:dyDescent="0.2">
      <c r="B103" s="22">
        <v>89</v>
      </c>
      <c r="C103" s="30" t="str">
        <f>'Part 2'!C99</f>
        <v>Are event logs of user activities, exceptions, faults and information security events produced, kept and regularly reviewed for JLR relevant systems?</v>
      </c>
      <c r="D103" s="20">
        <v>5</v>
      </c>
      <c r="E103" s="20">
        <f t="shared" si="4"/>
        <v>5</v>
      </c>
      <c r="F103" s="48"/>
      <c r="G103" s="48"/>
      <c r="H103" s="49" t="str">
        <f>'Part 2'!D99</f>
        <v>Fully implemented</v>
      </c>
      <c r="I103" s="17">
        <f>E103*VLOOKUP(H103,Lists!$B$4:$C$10,2,FALSE)/5</f>
        <v>100</v>
      </c>
    </row>
    <row r="104" spans="2:9" ht="25" customHeight="1" outlineLevel="1" thickBot="1" x14ac:dyDescent="0.25">
      <c r="B104" s="22">
        <v>90</v>
      </c>
      <c r="C104" s="30" t="str">
        <f>'Part 2'!C100</f>
        <v>Is access to logging information restricted to authorised personnel only?</v>
      </c>
      <c r="D104" s="20">
        <v>5</v>
      </c>
      <c r="E104" s="20">
        <f t="shared" si="4"/>
        <v>5</v>
      </c>
      <c r="F104" s="48"/>
      <c r="G104" s="48"/>
      <c r="H104" s="49" t="str">
        <f>'Part 2'!D100</f>
        <v>Fully implemented</v>
      </c>
      <c r="I104" s="19">
        <f>E104*VLOOKUP(H104,Lists!$B$4:$C$10,2,FALSE)/5</f>
        <v>100</v>
      </c>
    </row>
    <row r="105" spans="2:9" ht="25" customHeight="1" thickBot="1" x14ac:dyDescent="0.25">
      <c r="B105" s="101" t="str">
        <f>K17</f>
        <v>Communication (Network) Security</v>
      </c>
      <c r="C105" s="111"/>
      <c r="D105" s="112"/>
      <c r="E105" s="112"/>
      <c r="F105" s="112"/>
      <c r="G105" s="112"/>
      <c r="H105" s="112"/>
      <c r="I105" s="113"/>
    </row>
    <row r="106" spans="2:9" ht="25" customHeight="1" outlineLevel="1" x14ac:dyDescent="0.2">
      <c r="B106" s="29">
        <v>91</v>
      </c>
      <c r="C106" s="30" t="str">
        <f>'Part 2'!C102</f>
        <v xml:space="preserve"> Has the organisation established and documented responsibilities for the management of IT networking?</v>
      </c>
      <c r="D106" s="48">
        <v>5</v>
      </c>
      <c r="E106" s="48">
        <f t="shared" ref="E106:E115" si="5">IF(H106="Not Applicable",0,D106)</f>
        <v>5</v>
      </c>
      <c r="F106" s="48"/>
      <c r="G106" s="48"/>
      <c r="H106" s="49" t="str">
        <f>'Part 2'!D102</f>
        <v>Fully implemented</v>
      </c>
      <c r="I106" s="17">
        <f>E106*VLOOKUP(H106,Lists!$B$4:$C$10,2,FALSE)/5</f>
        <v>100</v>
      </c>
    </row>
    <row r="107" spans="2:9" ht="25" customHeight="1" outlineLevel="1" x14ac:dyDescent="0.2">
      <c r="B107" s="22">
        <v>92</v>
      </c>
      <c r="C107" s="30" t="str">
        <f>'Part 2'!C103</f>
        <v xml:space="preserve"> Are controls in place to safeguard the confidentiality and integrity of the organisation's data that passes over public and wireless networks - e.g. encryption?</v>
      </c>
      <c r="D107" s="20">
        <v>5</v>
      </c>
      <c r="E107" s="20">
        <f t="shared" si="5"/>
        <v>5</v>
      </c>
      <c r="F107" s="48"/>
      <c r="G107" s="48"/>
      <c r="H107" s="49" t="str">
        <f>'Part 2'!D103</f>
        <v>Fully implemented</v>
      </c>
      <c r="I107" s="17">
        <f>E107*VLOOKUP(H107,Lists!$B$4:$C$10,2,FALSE)/5</f>
        <v>100</v>
      </c>
    </row>
    <row r="108" spans="2:9" ht="25" customHeight="1" outlineLevel="1" x14ac:dyDescent="0.2">
      <c r="B108" s="22">
        <v>93</v>
      </c>
      <c r="C108" s="30" t="str">
        <f>'Part 2'!C104</f>
        <v>Have security requirements been identified and included in all outsourced network service agreements?</v>
      </c>
      <c r="D108" s="20">
        <v>5</v>
      </c>
      <c r="E108" s="20">
        <f t="shared" si="5"/>
        <v>0</v>
      </c>
      <c r="F108" s="48"/>
      <c r="G108" s="48"/>
      <c r="H108" s="49" t="str">
        <f>'Part 2'!D104</f>
        <v>Not Applicable</v>
      </c>
      <c r="I108" s="17">
        <f>E108*VLOOKUP(H108,Lists!$B$4:$C$10,2,FALSE)/5</f>
        <v>0</v>
      </c>
    </row>
    <row r="109" spans="2:9" ht="25" customHeight="1" outlineLevel="1" x14ac:dyDescent="0.2">
      <c r="B109" s="22">
        <v>94</v>
      </c>
      <c r="C109" s="30" t="str">
        <f>'Part 2'!C105</f>
        <v>Do your internal network designs conform to the ‘defence in depth’ principle whereby the use of multiple security controls or security layers are deployed to mitigate the risk of one component of the network’s defence being compromised or circumvented?</v>
      </c>
      <c r="D109" s="20">
        <v>5</v>
      </c>
      <c r="E109" s="20">
        <f t="shared" si="5"/>
        <v>0</v>
      </c>
      <c r="F109" s="48"/>
      <c r="G109" s="48"/>
      <c r="H109" s="49" t="str">
        <f>'Part 2'!D105</f>
        <v>Not Applicable</v>
      </c>
      <c r="I109" s="17">
        <f>E109*VLOOKUP(H109,Lists!$B$4:$C$10,2,FALSE)/5</f>
        <v>0</v>
      </c>
    </row>
    <row r="110" spans="2:9" ht="25" customHeight="1" outlineLevel="1" x14ac:dyDescent="0.2">
      <c r="B110" s="22">
        <v>95</v>
      </c>
      <c r="C110" s="30" t="str">
        <f>'Part 2'!C106</f>
        <v>Are devices and computer systems of low trust level such as remote access servers and wireless network access points located in dedicated network security zones?</v>
      </c>
      <c r="D110" s="20">
        <v>5</v>
      </c>
      <c r="E110" s="20">
        <f t="shared" si="5"/>
        <v>5</v>
      </c>
      <c r="F110" s="48"/>
      <c r="G110" s="48"/>
      <c r="H110" s="49" t="str">
        <f>'Part 2'!D106</f>
        <v>Fully implemented</v>
      </c>
      <c r="I110" s="17">
        <f>E110*VLOOKUP(H110,Lists!$B$4:$C$10,2,FALSE)/5</f>
        <v>100</v>
      </c>
    </row>
    <row r="111" spans="2:9" ht="25" customHeight="1" outlineLevel="1" x14ac:dyDescent="0.2">
      <c r="B111" s="22">
        <v>96</v>
      </c>
      <c r="C111" s="30" t="str">
        <f>'Part 2'!C107</f>
        <v>Are mission critical and highly sensitive assets located in dedicated security zones?</v>
      </c>
      <c r="D111" s="20">
        <v>5</v>
      </c>
      <c r="E111" s="20">
        <f t="shared" si="5"/>
        <v>5</v>
      </c>
      <c r="F111" s="48"/>
      <c r="G111" s="48"/>
      <c r="H111" s="49" t="str">
        <f>'Part 2'!D107</f>
        <v>Fully implemented</v>
      </c>
      <c r="I111" s="17">
        <f>E111*VLOOKUP(H111,Lists!$B$4:$C$10,2,FALSE)/5</f>
        <v>100</v>
      </c>
    </row>
    <row r="112" spans="2:9" ht="25" customHeight="1" outlineLevel="1" x14ac:dyDescent="0.2">
      <c r="B112" s="22">
        <v>97</v>
      </c>
      <c r="C112" s="30" t="str">
        <f>'Part 2'!C108</f>
        <v>Are network and security management systems located in dedicated security zones?</v>
      </c>
      <c r="D112" s="20">
        <v>5</v>
      </c>
      <c r="E112" s="20">
        <f t="shared" si="5"/>
        <v>5</v>
      </c>
      <c r="F112" s="48"/>
      <c r="G112" s="48"/>
      <c r="H112" s="49" t="str">
        <f>'Part 2'!D108</f>
        <v>Fully implemented</v>
      </c>
      <c r="I112" s="17">
        <f>E112*VLOOKUP(H112,Lists!$B$4:$C$10,2,FALSE)/5</f>
        <v>100</v>
      </c>
    </row>
    <row r="113" spans="2:9" ht="25" customHeight="1" outlineLevel="1" x14ac:dyDescent="0.2">
      <c r="B113" s="22">
        <v>98</v>
      </c>
      <c r="C113" s="30" t="str">
        <f>'Part 2'!C109</f>
        <v>Are systems in development and/or testing located in different zones than production systems?</v>
      </c>
      <c r="D113" s="20">
        <v>5</v>
      </c>
      <c r="E113" s="20">
        <f t="shared" si="5"/>
        <v>5</v>
      </c>
      <c r="F113" s="48"/>
      <c r="G113" s="48"/>
      <c r="H113" s="49" t="str">
        <f>'Part 2'!D109</f>
        <v>Fully implemented</v>
      </c>
      <c r="I113" s="17">
        <f>E113*VLOOKUP(H113,Lists!$B$4:$C$10,2,FALSE)/5</f>
        <v>100</v>
      </c>
    </row>
    <row r="114" spans="2:9" ht="25" customHeight="1" outlineLevel="1" x14ac:dyDescent="0.2">
      <c r="B114" s="22">
        <v>99</v>
      </c>
      <c r="C114" s="30" t="str">
        <f>'Part 2'!C110</f>
        <v>Where applicable, are there procedures in place for the protection of electronic JLR information transmitted in the form of an email attachment?</v>
      </c>
      <c r="D114" s="20">
        <v>5</v>
      </c>
      <c r="E114" s="20">
        <f t="shared" si="5"/>
        <v>5</v>
      </c>
      <c r="F114" s="48"/>
      <c r="G114" s="48"/>
      <c r="H114" s="49" t="str">
        <f>'Part 2'!D110</f>
        <v>Not Implemented</v>
      </c>
      <c r="I114" s="17">
        <f>E114*VLOOKUP(H114,Lists!$B$4:$C$10,2,FALSE)/5</f>
        <v>0</v>
      </c>
    </row>
    <row r="115" spans="2:9" ht="25" customHeight="1" outlineLevel="1" thickBot="1" x14ac:dyDescent="0.25">
      <c r="B115" s="22">
        <v>100</v>
      </c>
      <c r="C115" s="30" t="str">
        <f>'Part 2'!C111</f>
        <v>Are your staff, including permanent, contract and temporary resource, advised not to discuss JLR business/information not already in the public domain in their personal social/social media interactions?</v>
      </c>
      <c r="D115" s="20">
        <v>5</v>
      </c>
      <c r="E115" s="20">
        <f t="shared" si="5"/>
        <v>5</v>
      </c>
      <c r="F115" s="48"/>
      <c r="G115" s="48"/>
      <c r="H115" s="49" t="str">
        <f>'Part 2'!D111</f>
        <v>Fully implemented</v>
      </c>
      <c r="I115" s="17">
        <f>E115*VLOOKUP(H115,Lists!$B$4:$C$10,2,FALSE)/5</f>
        <v>100</v>
      </c>
    </row>
    <row r="116" spans="2:9" ht="25" customHeight="1" thickBot="1" x14ac:dyDescent="0.25">
      <c r="B116" s="101" t="s">
        <v>214</v>
      </c>
      <c r="C116" s="111"/>
      <c r="D116" s="112"/>
      <c r="E116" s="112"/>
      <c r="F116" s="112"/>
      <c r="G116" s="112"/>
      <c r="H116" s="112"/>
      <c r="I116" s="113"/>
    </row>
    <row r="117" spans="2:9" ht="25" customHeight="1" outlineLevel="1" x14ac:dyDescent="0.2">
      <c r="B117" s="29">
        <v>101</v>
      </c>
      <c r="C117" s="30" t="str">
        <f>'Part 2'!C113</f>
        <v>Are formal principles for the engineering of secure systems established, documented, maintained and applied?</v>
      </c>
      <c r="D117" s="48">
        <v>5</v>
      </c>
      <c r="E117" s="48">
        <f t="shared" ref="E117:E131" si="6">IF(H117="Not Applicable",0,D117)</f>
        <v>5</v>
      </c>
      <c r="F117" s="48"/>
      <c r="G117" s="48"/>
      <c r="H117" s="49" t="str">
        <f>'Part 2'!D113</f>
        <v>Largely implemented</v>
      </c>
      <c r="I117" s="17">
        <f>E117*VLOOKUP(H117,Lists!$B$4:$C$10,2,FALSE)/5</f>
        <v>75</v>
      </c>
    </row>
    <row r="118" spans="2:9" ht="25" customHeight="1" outlineLevel="1" x14ac:dyDescent="0.2">
      <c r="B118" s="22">
        <v>102</v>
      </c>
      <c r="C118" s="30" t="str">
        <f>'Part 2'!C114</f>
        <v>Are new IT systems subject to a rigorous information security assurance process prior to 'go live'?</v>
      </c>
      <c r="D118" s="20">
        <v>5</v>
      </c>
      <c r="E118" s="20">
        <f t="shared" si="6"/>
        <v>5</v>
      </c>
      <c r="F118" s="48"/>
      <c r="G118" s="48"/>
      <c r="H118" s="49" t="str">
        <f>'Part 2'!D114</f>
        <v>Largely implemented</v>
      </c>
      <c r="I118" s="17">
        <f>E118*VLOOKUP(H118,Lists!$B$4:$C$10,2,FALSE)/5</f>
        <v>75</v>
      </c>
    </row>
    <row r="119" spans="2:9" ht="25" customHeight="1" outlineLevel="1" x14ac:dyDescent="0.2">
      <c r="B119" s="22">
        <v>103</v>
      </c>
      <c r="C119" s="30" t="str">
        <f>'Part 2'!C115</f>
        <v>Are all IT systems that handle JLR information subject to a periodic (at least annual) 're-assurance' process?</v>
      </c>
      <c r="D119" s="20">
        <v>5</v>
      </c>
      <c r="E119" s="20">
        <f t="shared" si="6"/>
        <v>0</v>
      </c>
      <c r="F119" s="48"/>
      <c r="G119" s="48"/>
      <c r="H119" s="49" t="str">
        <f>'Part 2'!D115</f>
        <v>Not Applicable</v>
      </c>
      <c r="I119" s="17">
        <f>E119*VLOOKUP(H119,Lists!$B$4:$C$10,2,FALSE)/5</f>
        <v>0</v>
      </c>
    </row>
    <row r="120" spans="2:9" ht="25" customHeight="1" outlineLevel="1" x14ac:dyDescent="0.2">
      <c r="B120" s="22">
        <v>104</v>
      </c>
      <c r="C120" s="30" t="str">
        <f>'Part 2'!C116</f>
        <v>Does the selection of controls consider the sensitivity of data to be processed, stored and transmitted by the system under development?</v>
      </c>
      <c r="D120" s="20">
        <v>5</v>
      </c>
      <c r="E120" s="20">
        <f t="shared" si="6"/>
        <v>0</v>
      </c>
      <c r="F120" s="48"/>
      <c r="G120" s="48"/>
      <c r="H120" s="49" t="str">
        <f>'Part 2'!D116</f>
        <v>Not Applicable</v>
      </c>
      <c r="I120" s="17">
        <f>E120*VLOOKUP(H120,Lists!$B$4:$C$10,2,FALSE)/5</f>
        <v>0</v>
      </c>
    </row>
    <row r="121" spans="2:9" ht="25" customHeight="1" outlineLevel="1" x14ac:dyDescent="0.2">
      <c r="B121" s="22">
        <v>105</v>
      </c>
      <c r="C121" s="30" t="str">
        <f>'Part 2'!C117</f>
        <v>Are applications developed through a formal System Development Life Cycle (SDLC) procedure?</v>
      </c>
      <c r="D121" s="20">
        <v>5</v>
      </c>
      <c r="E121" s="20">
        <f t="shared" si="6"/>
        <v>5</v>
      </c>
      <c r="F121" s="48"/>
      <c r="G121" s="48"/>
      <c r="H121" s="49" t="str">
        <f>'Part 2'!D117</f>
        <v>Partially Implemented</v>
      </c>
      <c r="I121" s="17">
        <f>E121*VLOOKUP(H121,Lists!$B$4:$C$10,2,FALSE)/5</f>
        <v>50</v>
      </c>
    </row>
    <row r="122" spans="2:9" ht="25" customHeight="1" outlineLevel="1" x14ac:dyDescent="0.2">
      <c r="B122" s="22">
        <v>106</v>
      </c>
      <c r="C122" s="30" t="str">
        <f>'Part 2'!C118</f>
        <v>Do you supervise and monitor the activity of outsourced system development?</v>
      </c>
      <c r="D122" s="20">
        <v>5</v>
      </c>
      <c r="E122" s="20">
        <f t="shared" si="6"/>
        <v>5</v>
      </c>
      <c r="F122" s="48"/>
      <c r="G122" s="48"/>
      <c r="H122" s="49" t="str">
        <f>'Part 2'!D118</f>
        <v>Fully implemented</v>
      </c>
      <c r="I122" s="17">
        <f>E122*VLOOKUP(H122,Lists!$B$4:$C$10,2,FALSE)/5</f>
        <v>100</v>
      </c>
    </row>
    <row r="123" spans="2:9" ht="25" customHeight="1" outlineLevel="1" x14ac:dyDescent="0.2">
      <c r="B123" s="22">
        <v>107</v>
      </c>
      <c r="C123" s="30" t="str">
        <f>'Part 2'!C119</f>
        <v>Do you provide details of an approved threat model that relates to the information that will be handled, processed, stored and transmitted by the system to the external developer?</v>
      </c>
      <c r="D123" s="20">
        <v>5</v>
      </c>
      <c r="E123" s="20">
        <f t="shared" si="6"/>
        <v>0</v>
      </c>
      <c r="F123" s="48"/>
      <c r="G123" s="48"/>
      <c r="H123" s="49" t="str">
        <f>'Part 2'!D119</f>
        <v>Not Applicable</v>
      </c>
      <c r="I123" s="17">
        <f>E123*VLOOKUP(H123,Lists!$B$4:$C$10,2,FALSE)/5</f>
        <v>0</v>
      </c>
    </row>
    <row r="124" spans="2:9" ht="25" customHeight="1" outlineLevel="1" x14ac:dyDescent="0.2">
      <c r="B124" s="22">
        <v>108</v>
      </c>
      <c r="C124" s="30" t="str">
        <f>'Part 2'!C120</f>
        <v xml:space="preserve">Do your development procedures meet or exceed recognised good practices, e.g. OWASP? </v>
      </c>
      <c r="D124" s="20">
        <v>5</v>
      </c>
      <c r="E124" s="20">
        <f t="shared" si="6"/>
        <v>5</v>
      </c>
      <c r="F124" s="48"/>
      <c r="G124" s="48"/>
      <c r="H124" s="49" t="str">
        <f>'Part 2'!D120</f>
        <v>Fully implemented</v>
      </c>
      <c r="I124" s="17">
        <f>E124*VLOOKUP(H124,Lists!$B$4:$C$10,2,FALSE)/5</f>
        <v>100</v>
      </c>
    </row>
    <row r="125" spans="2:9" ht="25" customHeight="1" outlineLevel="1" x14ac:dyDescent="0.2">
      <c r="B125" s="22">
        <v>109</v>
      </c>
      <c r="C125" s="30" t="str">
        <f>'Part 2'!C121</f>
        <v>Is the use of embedded credentials within applications prohibited?</v>
      </c>
      <c r="D125" s="20">
        <v>5</v>
      </c>
      <c r="E125" s="20">
        <f t="shared" si="6"/>
        <v>5</v>
      </c>
      <c r="F125" s="48"/>
      <c r="G125" s="48"/>
      <c r="H125" s="49" t="str">
        <f>'Part 2'!D121</f>
        <v>Fully implemented</v>
      </c>
      <c r="I125" s="17">
        <f>E125*VLOOKUP(H125,Lists!$B$4:$C$10,2,FALSE)/5</f>
        <v>100</v>
      </c>
    </row>
    <row r="126" spans="2:9" ht="25" customHeight="1" outlineLevel="1" x14ac:dyDescent="0.2">
      <c r="B126" s="22">
        <v>110</v>
      </c>
      <c r="C126" s="30" t="str">
        <f>'Part 2'!C122</f>
        <v>Is the use of 'live' data containing personally identifiable information for testing purposes prohibited?</v>
      </c>
      <c r="D126" s="20">
        <v>5</v>
      </c>
      <c r="E126" s="20">
        <f t="shared" si="6"/>
        <v>5</v>
      </c>
      <c r="F126" s="48"/>
      <c r="G126" s="48"/>
      <c r="H126" s="49" t="str">
        <f>'Part 2'!D122</f>
        <v>Fully implemented</v>
      </c>
      <c r="I126" s="17">
        <f>E126*VLOOKUP(H126,Lists!$B$4:$C$10,2,FALSE)/5</f>
        <v>100</v>
      </c>
    </row>
    <row r="127" spans="2:9" ht="25" customHeight="1" outlineLevel="1" x14ac:dyDescent="0.2">
      <c r="B127" s="22">
        <v>111</v>
      </c>
      <c r="C127" s="30" t="str">
        <f>'Part 2'!C123</f>
        <v>Does the organisation develop control data sets for the specific use of system testing?</v>
      </c>
      <c r="D127" s="20">
        <v>5</v>
      </c>
      <c r="E127" s="20">
        <f t="shared" si="6"/>
        <v>5</v>
      </c>
      <c r="F127" s="48"/>
      <c r="G127" s="48"/>
      <c r="H127" s="49" t="str">
        <f>'Part 2'!D123</f>
        <v>Largely implemented</v>
      </c>
      <c r="I127" s="17">
        <f>E127*VLOOKUP(H127,Lists!$B$4:$C$10,2,FALSE)/5</f>
        <v>75</v>
      </c>
    </row>
    <row r="128" spans="2:9" ht="25" customHeight="1" outlineLevel="1" x14ac:dyDescent="0.2">
      <c r="B128" s="22">
        <v>112</v>
      </c>
      <c r="C128" s="30" t="str">
        <f>'Part 2'!C124</f>
        <v>Are your development, testing and operational environments separated?</v>
      </c>
      <c r="D128" s="20">
        <v>5</v>
      </c>
      <c r="E128" s="20">
        <f t="shared" si="6"/>
        <v>5</v>
      </c>
      <c r="F128" s="48"/>
      <c r="G128" s="48"/>
      <c r="H128" s="49" t="str">
        <f>'Part 2'!D124</f>
        <v>Fully implemented</v>
      </c>
      <c r="I128" s="17">
        <f>E128*VLOOKUP(H128,Lists!$B$4:$C$10,2,FALSE)/5</f>
        <v>100</v>
      </c>
    </row>
    <row r="129" spans="2:9" ht="25" customHeight="1" outlineLevel="1" x14ac:dyDescent="0.2">
      <c r="B129" s="22">
        <v>113</v>
      </c>
      <c r="C129" s="30" t="str">
        <f>'Part 2'!C125</f>
        <v xml:space="preserve"> Are automated tools, such as code analysis tools or vulnerability scanners employed?</v>
      </c>
      <c r="D129" s="20">
        <v>5</v>
      </c>
      <c r="E129" s="20">
        <f t="shared" si="6"/>
        <v>5</v>
      </c>
      <c r="F129" s="48"/>
      <c r="G129" s="48"/>
      <c r="H129" s="49" t="str">
        <f>'Part 2'!D125</f>
        <v>Fully implemented</v>
      </c>
      <c r="I129" s="17">
        <f>E129*VLOOKUP(H129,Lists!$B$4:$C$10,2,FALSE)/5</f>
        <v>100</v>
      </c>
    </row>
    <row r="130" spans="2:9" ht="25" customHeight="1" outlineLevel="1" x14ac:dyDescent="0.2">
      <c r="B130" s="22">
        <v>114</v>
      </c>
      <c r="C130" s="30" t="str">
        <f>'Part 2'!C126</f>
        <v>Do you conduct application-level security penetration testing prior to deployment?</v>
      </c>
      <c r="D130" s="20">
        <v>5</v>
      </c>
      <c r="E130" s="20">
        <f t="shared" si="6"/>
        <v>5</v>
      </c>
      <c r="F130" s="139" t="s">
        <v>337</v>
      </c>
      <c r="G130" s="48"/>
      <c r="H130" s="49" t="str">
        <f>'Part 2'!D126</f>
        <v>Fully implemented</v>
      </c>
      <c r="I130" s="17">
        <f>E130*VLOOKUP(H130,Lists!$B$4:$C$10,2,FALSE)/5</f>
        <v>100</v>
      </c>
    </row>
    <row r="131" spans="2:9" ht="25" customHeight="1" outlineLevel="1" thickBot="1" x14ac:dyDescent="0.25">
      <c r="B131" s="22">
        <v>115</v>
      </c>
      <c r="C131" s="30" t="str">
        <f>'Part 2'!C127</f>
        <v xml:space="preserve"> Are re-tests undertaken to confirm the closure of previously identified vulnerabilities?</v>
      </c>
      <c r="D131" s="20">
        <v>5</v>
      </c>
      <c r="E131" s="20">
        <f t="shared" si="6"/>
        <v>5</v>
      </c>
      <c r="F131" s="48"/>
      <c r="G131" s="48"/>
      <c r="H131" s="49" t="str">
        <f>'Part 2'!D127</f>
        <v>Fully implemented</v>
      </c>
      <c r="I131" s="17">
        <f>E131*VLOOKUP(H131,Lists!$B$4:$C$10,2,FALSE)/5</f>
        <v>100</v>
      </c>
    </row>
    <row r="132" spans="2:9" ht="25" customHeight="1" thickBot="1" x14ac:dyDescent="0.25">
      <c r="B132" s="101" t="s">
        <v>242</v>
      </c>
      <c r="C132" s="111"/>
      <c r="D132" s="112"/>
      <c r="E132" s="112"/>
      <c r="F132" s="112"/>
      <c r="G132" s="112"/>
      <c r="H132" s="112"/>
      <c r="I132" s="113"/>
    </row>
    <row r="133" spans="2:9" ht="25" customHeight="1" outlineLevel="1" x14ac:dyDescent="0.2">
      <c r="B133" s="29">
        <v>116</v>
      </c>
      <c r="C133" s="30" t="str">
        <f>'Part 2'!C129</f>
        <v>Is an accurate record maintained of all suppliers that process or otherwise handle JLR data?</v>
      </c>
      <c r="D133" s="48">
        <v>5</v>
      </c>
      <c r="E133" s="48">
        <f t="shared" ref="E133:E142" si="7">IF(H133="Not Applicable",0,D133)</f>
        <v>0</v>
      </c>
      <c r="F133" s="48"/>
      <c r="G133" s="48"/>
      <c r="H133" s="49" t="str">
        <f>'Part 2'!D129</f>
        <v>Not Applicable</v>
      </c>
      <c r="I133" s="17">
        <f>E133*VLOOKUP(H133,Lists!$B$4:$C$10,2,FALSE)/5</f>
        <v>0</v>
      </c>
    </row>
    <row r="134" spans="2:9" ht="25" customHeight="1" outlineLevel="1" x14ac:dyDescent="0.2">
      <c r="B134" s="22">
        <v>117</v>
      </c>
      <c r="C134" s="30" t="str">
        <f>'Part 2'!C130</f>
        <v>In all instances where a supplier will handle JLR information, are the information security requirements for mitigating associated risks agreed with the supplier and documented?</v>
      </c>
      <c r="D134" s="20">
        <v>5</v>
      </c>
      <c r="E134" s="20">
        <f t="shared" si="7"/>
        <v>0</v>
      </c>
      <c r="F134" s="48"/>
      <c r="G134" s="48"/>
      <c r="H134" s="49" t="str">
        <f>'Part 2'!D130</f>
        <v>Not Applicable</v>
      </c>
      <c r="I134" s="17">
        <f>E134*VLOOKUP(H134,Lists!$B$4:$C$10,2,FALSE)/5</f>
        <v>0</v>
      </c>
    </row>
    <row r="135" spans="2:9" ht="25" customHeight="1" outlineLevel="1" x14ac:dyDescent="0.2">
      <c r="B135" s="22">
        <v>118</v>
      </c>
      <c r="C135" s="30" t="str">
        <f>'Part 2'!C131</f>
        <v>All  suppliers of outsourced IT systems or services subject to a rigorous information security assurance and periodic 're-assurance' process?</v>
      </c>
      <c r="D135" s="20">
        <v>5</v>
      </c>
      <c r="E135" s="20">
        <f t="shared" si="7"/>
        <v>0</v>
      </c>
      <c r="F135" s="48"/>
      <c r="G135" s="48"/>
      <c r="H135" s="49" t="str">
        <f>'Part 2'!D131</f>
        <v>Not Applicable</v>
      </c>
      <c r="I135" s="17">
        <f>E135*VLOOKUP(H135,Lists!$B$4:$C$10,2,FALSE)/5</f>
        <v>0</v>
      </c>
    </row>
    <row r="136" spans="2:9" ht="25" customHeight="1" outlineLevel="1" x14ac:dyDescent="0.2">
      <c r="B136" s="22">
        <v>119</v>
      </c>
      <c r="C136" s="30" t="str">
        <f>'Part 2'!C132</f>
        <v xml:space="preserve">Do JLR relevant supplier agreements include monitoring and/or other methods for validating that the products and services being provided remain appropriately secure? </v>
      </c>
      <c r="D136" s="20">
        <v>5</v>
      </c>
      <c r="E136" s="20">
        <f t="shared" si="7"/>
        <v>0</v>
      </c>
      <c r="F136" s="48"/>
      <c r="G136" s="48"/>
      <c r="H136" s="49" t="str">
        <f>'Part 2'!D132</f>
        <v>Not Applicable</v>
      </c>
      <c r="I136" s="17">
        <f>E136*VLOOKUP(H136,Lists!$B$4:$C$10,2,FALSE)/5</f>
        <v>0</v>
      </c>
    </row>
    <row r="137" spans="2:9" ht="25" customHeight="1" outlineLevel="1" x14ac:dyDescent="0.2">
      <c r="B137" s="22">
        <v>120</v>
      </c>
      <c r="C137" s="30" t="str">
        <f>'Part 2'!C133</f>
        <v>Do supplier agreements require the propagation of the organisation's information security requirements throughout the supplier's subcontractors and suppliers?</v>
      </c>
      <c r="D137" s="20">
        <v>5</v>
      </c>
      <c r="E137" s="20">
        <f t="shared" si="7"/>
        <v>0</v>
      </c>
      <c r="F137" s="139" t="s">
        <v>337</v>
      </c>
      <c r="G137" s="48"/>
      <c r="H137" s="49" t="str">
        <f>'Part 2'!D133</f>
        <v>Not Applicable</v>
      </c>
      <c r="I137" s="17">
        <f>E137*VLOOKUP(H137,Lists!$B$4:$C$10,2,FALSE)/5</f>
        <v>0</v>
      </c>
    </row>
    <row r="138" spans="2:9" ht="25" customHeight="1" outlineLevel="1" x14ac:dyDescent="0.2">
      <c r="B138" s="22">
        <v>121</v>
      </c>
      <c r="C138" s="30" t="str">
        <f>'Part 2'!C134</f>
        <v xml:space="preserve"> Do you ensure that your suppliers are unable to extract or remove copies of JLR data unless explicitly required in the service being provided?</v>
      </c>
      <c r="D138" s="20">
        <v>5</v>
      </c>
      <c r="E138" s="20">
        <f t="shared" si="7"/>
        <v>0</v>
      </c>
      <c r="F138" s="48"/>
      <c r="G138" s="48"/>
      <c r="H138" s="49" t="str">
        <f>'Part 2'!D134</f>
        <v>Not Applicable</v>
      </c>
      <c r="I138" s="17">
        <f>E138*VLOOKUP(H138,Lists!$B$4:$C$10,2,FALSE)/5</f>
        <v>0</v>
      </c>
    </row>
    <row r="139" spans="2:9" ht="25" customHeight="1" outlineLevel="1" x14ac:dyDescent="0.2">
      <c r="B139" s="22">
        <v>122</v>
      </c>
      <c r="C139" s="30" t="str">
        <f>'Part 2'!C135</f>
        <v>If access to JLR data is required by your suppliers, do you make JLR aware prior to access being granted and obtain consent?</v>
      </c>
      <c r="D139" s="20">
        <v>5</v>
      </c>
      <c r="E139" s="20">
        <f t="shared" si="7"/>
        <v>0</v>
      </c>
      <c r="F139" s="48"/>
      <c r="G139" s="48"/>
      <c r="H139" s="49" t="str">
        <f>'Part 2'!D135</f>
        <v>Not Applicable</v>
      </c>
      <c r="I139" s="17">
        <f>E139*VLOOKUP(H139,Lists!$B$4:$C$10,2,FALSE)/5</f>
        <v>0</v>
      </c>
    </row>
    <row r="140" spans="2:9" ht="25" customHeight="1" outlineLevel="1" x14ac:dyDescent="0.2">
      <c r="B140" s="22">
        <v>123</v>
      </c>
      <c r="C140" s="30" t="str">
        <f>'Part 2'!C136</f>
        <v>When you end your relationship with a supplier, do you make sure they securely destroy or return  JLR information?</v>
      </c>
      <c r="D140" s="20">
        <v>5</v>
      </c>
      <c r="E140" s="20">
        <f t="shared" si="7"/>
        <v>0</v>
      </c>
      <c r="F140" s="48"/>
      <c r="G140" s="48"/>
      <c r="H140" s="49" t="str">
        <f>'Part 2'!D136</f>
        <v>Not Applicable</v>
      </c>
      <c r="I140" s="17">
        <f>E140*VLOOKUP(H140,Lists!$B$4:$C$10,2,FALSE)/5</f>
        <v>0</v>
      </c>
    </row>
    <row r="141" spans="2:9" ht="25" customHeight="1" outlineLevel="1" x14ac:dyDescent="0.2">
      <c r="B141" s="29">
        <v>124</v>
      </c>
      <c r="C141" s="30" t="str">
        <f>'Part 2'!C137</f>
        <v>Are service reports produced by suppliers and regular account meetings held?</v>
      </c>
      <c r="D141" s="20">
        <v>5</v>
      </c>
      <c r="E141" s="20">
        <f t="shared" si="7"/>
        <v>0</v>
      </c>
      <c r="F141" s="48"/>
      <c r="G141" s="48"/>
      <c r="H141" s="49" t="str">
        <f>'Part 2'!D137</f>
        <v>Not Applicable</v>
      </c>
      <c r="I141" s="17">
        <f>E141*VLOOKUP(H141,Lists!$B$4:$C$10,2,FALSE)/5</f>
        <v>0</v>
      </c>
    </row>
    <row r="142" spans="2:9" ht="25" customHeight="1" outlineLevel="1" thickBot="1" x14ac:dyDescent="0.25">
      <c r="B142" s="29">
        <v>125</v>
      </c>
      <c r="C142" s="30" t="str">
        <f>'Part 2'!C138</f>
        <v>Are your suppliers contractually obliged to provide information about JLR relevant information security incidents in a timely manner?</v>
      </c>
      <c r="D142" s="20">
        <v>5</v>
      </c>
      <c r="E142" s="20">
        <f t="shared" si="7"/>
        <v>0</v>
      </c>
      <c r="F142" s="48"/>
      <c r="G142" s="48"/>
      <c r="H142" s="49" t="str">
        <f>'Part 2'!D138</f>
        <v>Not Applicable</v>
      </c>
      <c r="I142" s="17">
        <f>E142*VLOOKUP(H142,Lists!$B$4:$C$10,2,FALSE)/5</f>
        <v>0</v>
      </c>
    </row>
    <row r="143" spans="2:9" ht="25" customHeight="1" x14ac:dyDescent="0.2">
      <c r="B143" s="102" t="s">
        <v>330</v>
      </c>
      <c r="C143" s="114"/>
      <c r="D143" s="115"/>
      <c r="E143" s="115"/>
      <c r="F143" s="115"/>
      <c r="G143" s="115"/>
      <c r="H143" s="115"/>
      <c r="I143" s="116"/>
    </row>
    <row r="144" spans="2:9" ht="25" customHeight="1" outlineLevel="1" x14ac:dyDescent="0.2">
      <c r="B144" s="22">
        <v>126</v>
      </c>
      <c r="C144" s="30" t="str">
        <f>'Part 2'!C140</f>
        <v>Do you operate documented processes for the monitoring, detecting, analysing and reporting of information/cyber security events?</v>
      </c>
      <c r="D144" s="20">
        <v>5</v>
      </c>
      <c r="E144" s="20">
        <f t="shared" ref="E144:E160" si="8">IF(H144="Not Applicable",0,D144)</f>
        <v>5</v>
      </c>
      <c r="F144" s="48"/>
      <c r="G144" s="139" t="s">
        <v>337</v>
      </c>
      <c r="H144" s="49" t="str">
        <f>'Part 2'!D140</f>
        <v>Fully implemented</v>
      </c>
      <c r="I144" s="17">
        <f>E144*VLOOKUP(H144,Lists!$B$4:$C$10,2,FALSE)/5</f>
        <v>100</v>
      </c>
    </row>
    <row r="145" spans="1:9" ht="25" customHeight="1" outlineLevel="1" x14ac:dyDescent="0.2">
      <c r="B145" s="22">
        <v>127</v>
      </c>
      <c r="C145" s="30" t="str">
        <f>'Part 2'!C141</f>
        <v>Are all employees, contractors, temporary resources and suppliers aware of what is described as an information/cyber security event?</v>
      </c>
      <c r="D145" s="20">
        <v>5</v>
      </c>
      <c r="E145" s="20">
        <f t="shared" si="8"/>
        <v>5</v>
      </c>
      <c r="F145" s="48"/>
      <c r="G145" s="139" t="s">
        <v>337</v>
      </c>
      <c r="H145" s="49" t="str">
        <f>'Part 2'!D141</f>
        <v>Fully implemented</v>
      </c>
      <c r="I145" s="17">
        <f>E145*VLOOKUP(H145,Lists!$B$4:$C$10,2,FALSE)/5</f>
        <v>100</v>
      </c>
    </row>
    <row r="146" spans="1:9" ht="25" customHeight="1" outlineLevel="1" x14ac:dyDescent="0.2">
      <c r="A146"/>
      <c r="B146" s="22">
        <v>128</v>
      </c>
      <c r="C146" s="30" t="str">
        <f>'Part 2'!C142</f>
        <v>Are all employees, contractors, temporary resources and suppliers aware of their responsibility to report information/cyber security events as quickly as possible?</v>
      </c>
      <c r="D146" s="20">
        <v>5</v>
      </c>
      <c r="E146" s="20">
        <f t="shared" si="8"/>
        <v>5</v>
      </c>
      <c r="F146" s="48"/>
      <c r="G146" s="139" t="s">
        <v>337</v>
      </c>
      <c r="H146" s="49" t="str">
        <f>'Part 2'!D142</f>
        <v>Fully implemented</v>
      </c>
      <c r="I146" s="17">
        <f>E146*VLOOKUP(H146,Lists!$B$4:$C$10,2,FALSE)/5</f>
        <v>100</v>
      </c>
    </row>
    <row r="147" spans="1:9" ht="25" customHeight="1" outlineLevel="1" x14ac:dyDescent="0.2">
      <c r="A147"/>
      <c r="B147" s="22">
        <v>129</v>
      </c>
      <c r="C147" s="30" t="str">
        <f>'Part 2'!C143</f>
        <v>Is the information/cyber security event reporting mechanism easily accessible and readily available?</v>
      </c>
      <c r="D147" s="20">
        <v>5</v>
      </c>
      <c r="E147" s="20">
        <f t="shared" si="8"/>
        <v>5</v>
      </c>
      <c r="F147" s="48"/>
      <c r="G147" s="139" t="s">
        <v>337</v>
      </c>
      <c r="H147" s="49" t="str">
        <f>'Part 2'!D143</f>
        <v>Fully implemented</v>
      </c>
      <c r="I147" s="17">
        <f>E147*VLOOKUP(H147,Lists!$B$4:$C$10,2,FALSE)/5</f>
        <v>100</v>
      </c>
    </row>
    <row r="148" spans="1:9" ht="25" customHeight="1" outlineLevel="1" x14ac:dyDescent="0.2">
      <c r="A148"/>
      <c r="B148" s="22">
        <v>130</v>
      </c>
      <c r="C148" s="30" t="str">
        <f>'Part 2'!C144</f>
        <v>Are information/cyber security events first assessed prior to being declared as incidents?</v>
      </c>
      <c r="D148" s="20">
        <v>5</v>
      </c>
      <c r="E148" s="20">
        <f t="shared" si="8"/>
        <v>5</v>
      </c>
      <c r="F148" s="48"/>
      <c r="G148" s="139" t="s">
        <v>337</v>
      </c>
      <c r="H148" s="49" t="str">
        <f>'Part 2'!D144</f>
        <v>Fully implemented</v>
      </c>
      <c r="I148" s="17">
        <f>E148*VLOOKUP(H148,Lists!$B$4:$C$10,2,FALSE)/5</f>
        <v>100</v>
      </c>
    </row>
    <row r="149" spans="1:9" ht="25" customHeight="1" outlineLevel="1" x14ac:dyDescent="0.2">
      <c r="A149"/>
      <c r="B149" s="22">
        <v>131</v>
      </c>
      <c r="C149" s="30" t="str">
        <f>'Part 2'!C145</f>
        <v>Are information/cyber security incidents classified and prioritized?</v>
      </c>
      <c r="D149" s="20">
        <v>5</v>
      </c>
      <c r="E149" s="20">
        <f t="shared" si="8"/>
        <v>5</v>
      </c>
      <c r="F149" s="48"/>
      <c r="G149" s="139" t="s">
        <v>337</v>
      </c>
      <c r="H149" s="49" t="str">
        <f>'Part 2'!D145</f>
        <v>Fully implemented</v>
      </c>
      <c r="I149" s="17">
        <f>E149*VLOOKUP(H149,Lists!$B$4:$C$10,2,FALSE)/5</f>
        <v>100</v>
      </c>
    </row>
    <row r="150" spans="1:9" ht="25" customHeight="1" outlineLevel="1" x14ac:dyDescent="0.2">
      <c r="A150"/>
      <c r="B150" s="22">
        <v>132</v>
      </c>
      <c r="C150" s="30" t="str">
        <f>'Part 2'!C146</f>
        <v>Do you have a documented Information/Cyber Security Incident Response Procedure?</v>
      </c>
      <c r="D150" s="20">
        <v>5</v>
      </c>
      <c r="E150" s="20">
        <f t="shared" si="8"/>
        <v>5</v>
      </c>
      <c r="F150" s="139" t="s">
        <v>337</v>
      </c>
      <c r="G150" s="139" t="s">
        <v>337</v>
      </c>
      <c r="H150" s="49" t="str">
        <f>'Part 2'!D146</f>
        <v>Partially Implemented</v>
      </c>
      <c r="I150" s="17">
        <f>E150*VLOOKUP(H150,Lists!$B$4:$C$10,2,FALSE)/5</f>
        <v>50</v>
      </c>
    </row>
    <row r="151" spans="1:9" ht="25" customHeight="1" outlineLevel="1" x14ac:dyDescent="0.2">
      <c r="A151"/>
      <c r="B151" s="22">
        <v>133</v>
      </c>
      <c r="C151" s="30" t="str">
        <f>'Part 2'!C147</f>
        <v xml:space="preserve"> Do the documented incident procedures require the collection of evidence as soon as possible after the occurrence?</v>
      </c>
      <c r="D151" s="20">
        <v>5</v>
      </c>
      <c r="E151" s="20">
        <f t="shared" si="8"/>
        <v>5</v>
      </c>
      <c r="F151" s="48"/>
      <c r="G151" s="139" t="s">
        <v>337</v>
      </c>
      <c r="H151" s="49" t="str">
        <f>'Part 2'!D147</f>
        <v>Fully implemented</v>
      </c>
      <c r="I151" s="17">
        <f>E151*VLOOKUP(H151,Lists!$B$4:$C$10,2,FALSE)/5</f>
        <v>100</v>
      </c>
    </row>
    <row r="152" spans="1:9" ht="25" customHeight="1" outlineLevel="1" x14ac:dyDescent="0.2">
      <c r="A152"/>
      <c r="B152" s="22">
        <v>134</v>
      </c>
      <c r="C152" s="30" t="str">
        <f>'Part 2'!C148</f>
        <v xml:space="preserve"> Do the documented incident procedures require the conducting of information/cyber security forensic analysis?</v>
      </c>
      <c r="D152" s="20">
        <v>5</v>
      </c>
      <c r="E152" s="20">
        <f t="shared" si="8"/>
        <v>5</v>
      </c>
      <c r="F152" s="48"/>
      <c r="G152" s="139" t="s">
        <v>337</v>
      </c>
      <c r="H152" s="49" t="str">
        <f>'Part 2'!D148</f>
        <v>Partially Implemented</v>
      </c>
      <c r="I152" s="17">
        <f>E152*VLOOKUP(H152,Lists!$B$4:$C$10,2,FALSE)/5</f>
        <v>50</v>
      </c>
    </row>
    <row r="153" spans="1:9" ht="25" customHeight="1" outlineLevel="1" x14ac:dyDescent="0.2">
      <c r="A153"/>
      <c r="B153" s="22">
        <v>135</v>
      </c>
      <c r="C153" s="30" t="str">
        <f>'Part 2'!C149</f>
        <v xml:space="preserve"> Do the documented incident procedures include escalation requirements and parameters? </v>
      </c>
      <c r="D153" s="20">
        <v>5</v>
      </c>
      <c r="E153" s="20">
        <f t="shared" si="8"/>
        <v>5</v>
      </c>
      <c r="F153" s="48"/>
      <c r="G153" s="139" t="s">
        <v>337</v>
      </c>
      <c r="H153" s="49" t="str">
        <f>'Part 2'!D149</f>
        <v>Fully implemented</v>
      </c>
      <c r="I153" s="17">
        <f>E153*VLOOKUP(H153,Lists!$B$4:$C$10,2,FALSE)/5</f>
        <v>100</v>
      </c>
    </row>
    <row r="154" spans="1:9" ht="25" customHeight="1" outlineLevel="1" x14ac:dyDescent="0.2">
      <c r="A154"/>
      <c r="B154" s="22">
        <v>136</v>
      </c>
      <c r="C154" s="30" t="str">
        <f>'Part 2'!C150</f>
        <v xml:space="preserve"> Do the documented incident procedures require all response activities and actions are logged for later analysis?</v>
      </c>
      <c r="D154" s="20">
        <v>5</v>
      </c>
      <c r="E154" s="20">
        <f t="shared" si="8"/>
        <v>5</v>
      </c>
      <c r="F154" s="48"/>
      <c r="G154" s="139" t="s">
        <v>337</v>
      </c>
      <c r="H154" s="49" t="str">
        <f>'Part 2'!D150</f>
        <v>Fully implemented</v>
      </c>
      <c r="I154" s="17">
        <f>E154*VLOOKUP(H154,Lists!$B$4:$C$10,2,FALSE)/5</f>
        <v>100</v>
      </c>
    </row>
    <row r="155" spans="1:9" ht="25" customHeight="1" outlineLevel="1" x14ac:dyDescent="0.2">
      <c r="A155"/>
      <c r="B155" s="22">
        <v>137</v>
      </c>
      <c r="C155" s="30" t="str">
        <f>'Part 2'!C151</f>
        <v xml:space="preserve"> Do the documented incident procedures restrict the communication of information to only those with a 'need to know'?</v>
      </c>
      <c r="D155" s="20">
        <v>5</v>
      </c>
      <c r="E155" s="20">
        <f t="shared" si="8"/>
        <v>5</v>
      </c>
      <c r="F155" s="48"/>
      <c r="G155" s="139" t="s">
        <v>337</v>
      </c>
      <c r="H155" s="49" t="str">
        <f>'Part 2'!D151</f>
        <v>Minimal Implementation</v>
      </c>
      <c r="I155" s="17">
        <f>E155*VLOOKUP(H155,Lists!$B$4:$C$10,2,FALSE)/5</f>
        <v>25</v>
      </c>
    </row>
    <row r="156" spans="1:9" ht="25" customHeight="1" outlineLevel="1" x14ac:dyDescent="0.2">
      <c r="A156"/>
      <c r="B156" s="22">
        <v>138</v>
      </c>
      <c r="C156" s="30" t="str">
        <f>'Part 2'!C152</f>
        <v xml:space="preserve"> Do the documented incident procedures require post incident analysis is undertaken to identify the 'root cause' of the incident?</v>
      </c>
      <c r="D156" s="20">
        <v>5</v>
      </c>
      <c r="E156" s="20">
        <f t="shared" si="8"/>
        <v>5</v>
      </c>
      <c r="F156" s="48"/>
      <c r="G156" s="139" t="s">
        <v>337</v>
      </c>
      <c r="H156" s="49" t="str">
        <f>'Part 2'!D152</f>
        <v>Fully implemented</v>
      </c>
      <c r="I156" s="17">
        <f>E156*VLOOKUP(H156,Lists!$B$4:$C$10,2,FALSE)/5</f>
        <v>100</v>
      </c>
    </row>
    <row r="157" spans="1:9" ht="25" customHeight="1" outlineLevel="1" x14ac:dyDescent="0.2">
      <c r="A157"/>
      <c r="B157" s="22">
        <v>139</v>
      </c>
      <c r="C157" s="30" t="str">
        <f>'Part 2'!C153</f>
        <v xml:space="preserve">Are there documented processes that details who within JLR must be informed of a relevant incident, the circumstances and when they must be informed and by what method? </v>
      </c>
      <c r="D157" s="20">
        <v>5</v>
      </c>
      <c r="E157" s="20">
        <f t="shared" si="8"/>
        <v>5</v>
      </c>
      <c r="F157" s="48"/>
      <c r="G157" s="139" t="s">
        <v>337</v>
      </c>
      <c r="H157" s="49" t="str">
        <f>'Part 2'!D153</f>
        <v>Not Implemented</v>
      </c>
      <c r="I157" s="17">
        <f>E157*VLOOKUP(H157,Lists!$B$4:$C$10,2,FALSE)/5</f>
        <v>0</v>
      </c>
    </row>
    <row r="158" spans="1:9" ht="25" customHeight="1" outlineLevel="1" x14ac:dyDescent="0.2">
      <c r="A158"/>
      <c r="B158" s="22">
        <v>140</v>
      </c>
      <c r="C158" s="30" t="str">
        <f>'Part 2'!C154</f>
        <v>Are there formal documented procedures for the identification, collection, acquisition and preservation of information that can serve as evidence in relation to an information/cyber security incident?</v>
      </c>
      <c r="D158" s="20">
        <v>5</v>
      </c>
      <c r="E158" s="20">
        <f t="shared" si="8"/>
        <v>5</v>
      </c>
      <c r="F158" s="48"/>
      <c r="G158" s="139" t="s">
        <v>337</v>
      </c>
      <c r="H158" s="49" t="str">
        <f>'Part 2'!D154</f>
        <v>Partially Implemented</v>
      </c>
      <c r="I158" s="17">
        <f>E158*VLOOKUP(H158,Lists!$B$4:$C$10,2,FALSE)/5</f>
        <v>50</v>
      </c>
    </row>
    <row r="159" spans="1:9" ht="25" customHeight="1" outlineLevel="1" x14ac:dyDescent="0.2">
      <c r="A159"/>
      <c r="B159" s="22">
        <v>141</v>
      </c>
      <c r="C159" s="30" t="str">
        <f>'Part 2'!C155</f>
        <v>Are formal documented procedures followed when dealing with evidence for the purposes of disciplinary and legal action?</v>
      </c>
      <c r="D159" s="20">
        <v>5</v>
      </c>
      <c r="E159" s="20">
        <f t="shared" si="8"/>
        <v>5</v>
      </c>
      <c r="F159" s="48"/>
      <c r="G159" s="139" t="s">
        <v>337</v>
      </c>
      <c r="H159" s="49" t="str">
        <f>'Part 2'!D155</f>
        <v>Partially Implemented</v>
      </c>
      <c r="I159" s="17">
        <f>E159*VLOOKUP(H159,Lists!$B$4:$C$10,2,FALSE)/5</f>
        <v>50</v>
      </c>
    </row>
    <row r="160" spans="1:9" ht="25" customHeight="1" outlineLevel="1" thickBot="1" x14ac:dyDescent="0.25">
      <c r="A160"/>
      <c r="B160" s="22">
        <v>142</v>
      </c>
      <c r="C160" s="30" t="str">
        <f>'Part 2'!C156</f>
        <v xml:space="preserve"> Is knowledge gained from analysing and resolving security incidents used to reduce the likelihood or impact of future incidents?</v>
      </c>
      <c r="D160" s="20">
        <v>5</v>
      </c>
      <c r="E160" s="20">
        <f t="shared" si="8"/>
        <v>5</v>
      </c>
      <c r="F160" s="48"/>
      <c r="G160" s="48"/>
      <c r="H160" s="49" t="str">
        <f>'Part 2'!D156</f>
        <v>Fully implemented</v>
      </c>
      <c r="I160" s="17">
        <f>E160*VLOOKUP(H160,Lists!$B$4:$C$10,2,FALSE)/5</f>
        <v>100</v>
      </c>
    </row>
    <row r="161" spans="2:9" ht="25" customHeight="1" x14ac:dyDescent="0.2">
      <c r="B161" s="102" t="s">
        <v>284</v>
      </c>
      <c r="C161" s="114"/>
      <c r="D161" s="115"/>
      <c r="E161" s="115"/>
      <c r="F161" s="115"/>
      <c r="G161" s="115"/>
      <c r="H161" s="115"/>
      <c r="I161" s="116"/>
    </row>
    <row r="162" spans="2:9" ht="25" customHeight="1" outlineLevel="1" x14ac:dyDescent="0.2">
      <c r="B162" s="22">
        <v>143</v>
      </c>
      <c r="C162" s="30" t="str">
        <f>'Part 2'!C158</f>
        <v xml:space="preserve"> Has a Business Impact Analysis (BIA) been conducted on all JLR relevant systems, applications and platforms?</v>
      </c>
      <c r="D162" s="20">
        <v>5</v>
      </c>
      <c r="E162" s="20">
        <f t="shared" ref="E162:E179" si="9">IF(H162="Not Applicable",0,D162)</f>
        <v>0</v>
      </c>
      <c r="F162" s="48"/>
      <c r="G162" s="139" t="s">
        <v>337</v>
      </c>
      <c r="H162" s="49" t="str">
        <f>'Part 2'!D158</f>
        <v>Not Applicable</v>
      </c>
      <c r="I162" s="17">
        <f>E162*VLOOKUP(H162,Lists!$B$4:$C$10,2,FALSE)/5</f>
        <v>0</v>
      </c>
    </row>
    <row r="163" spans="2:9" ht="25" customHeight="1" outlineLevel="1" x14ac:dyDescent="0.2">
      <c r="B163" s="22">
        <v>144</v>
      </c>
      <c r="C163" s="30" t="str">
        <f>'Part 2'!C159</f>
        <v>Has the organisation identified JLR's requirements for the availability of its information?</v>
      </c>
      <c r="D163" s="20">
        <v>5</v>
      </c>
      <c r="E163" s="20">
        <f t="shared" si="9"/>
        <v>0</v>
      </c>
      <c r="F163" s="48"/>
      <c r="G163" s="139" t="s">
        <v>337</v>
      </c>
      <c r="H163" s="49" t="str">
        <f>'Part 2'!D159</f>
        <v>Not Applicable</v>
      </c>
      <c r="I163" s="17">
        <f>E163*VLOOKUP(H163,Lists!$B$4:$C$10,2,FALSE)/5</f>
        <v>0</v>
      </c>
    </row>
    <row r="164" spans="2:9" ht="25" customHeight="1" outlineLevel="1" x14ac:dyDescent="0.2">
      <c r="B164" s="22">
        <v>145</v>
      </c>
      <c r="C164" s="30" t="str">
        <f>'Part 2'!C160</f>
        <v xml:space="preserve"> Are information security continuity requirements captured within the organisation's business continuity and/or disaster recovery processes?</v>
      </c>
      <c r="D164" s="20">
        <v>5</v>
      </c>
      <c r="E164" s="20">
        <f t="shared" si="9"/>
        <v>0</v>
      </c>
      <c r="F164" s="48"/>
      <c r="G164" s="139" t="s">
        <v>337</v>
      </c>
      <c r="H164" s="49" t="str">
        <f>'Part 2'!D160</f>
        <v>Not Applicable</v>
      </c>
      <c r="I164" s="17">
        <f>E164*VLOOKUP(H164,Lists!$B$4:$C$10,2,FALSE)/5</f>
        <v>0</v>
      </c>
    </row>
    <row r="165" spans="2:9" ht="25" customHeight="1" outlineLevel="1" x14ac:dyDescent="0.2">
      <c r="B165" s="22">
        <v>146</v>
      </c>
      <c r="C165" s="30" t="str">
        <f>'Part 2'!C161</f>
        <v xml:space="preserve"> Has the organisation ensured that personnel with the necessary responsibility, authority and competence to manage a business continuity impacting incident are in place?</v>
      </c>
      <c r="D165" s="20">
        <v>5</v>
      </c>
      <c r="E165" s="20">
        <f t="shared" si="9"/>
        <v>5</v>
      </c>
      <c r="F165" s="48"/>
      <c r="G165" s="139" t="s">
        <v>337</v>
      </c>
      <c r="H165" s="49" t="str">
        <f>'Part 2'!D161</f>
        <v>Fully implemented</v>
      </c>
      <c r="I165" s="17">
        <f>E165*VLOOKUP(H165,Lists!$B$4:$C$10,2,FALSE)/5</f>
        <v>100</v>
      </c>
    </row>
    <row r="166" spans="2:9" ht="25" customHeight="1" outlineLevel="1" x14ac:dyDescent="0.2">
      <c r="B166" s="22">
        <v>147</v>
      </c>
      <c r="C166" s="30" t="str">
        <f>'Part 2'!C162</f>
        <v>Does the organisation exercise and test its BCM/DR capability on a regular basis? Please provide dates of the most recent business and data centre tests, and the RTO (Recovery Time Objective) for the services supporting the JLR contract in the Further information column.</v>
      </c>
      <c r="D166" s="20">
        <v>5</v>
      </c>
      <c r="E166" s="20">
        <f t="shared" si="9"/>
        <v>0</v>
      </c>
      <c r="F166" s="139" t="s">
        <v>337</v>
      </c>
      <c r="G166" s="139" t="s">
        <v>337</v>
      </c>
      <c r="H166" s="49" t="str">
        <f>'Part 2'!D162</f>
        <v>Not Applicable</v>
      </c>
      <c r="I166" s="17">
        <f>E166*VLOOKUP(H166,Lists!$B$4:$C$10,2,FALSE)/5</f>
        <v>0</v>
      </c>
    </row>
    <row r="167" spans="2:9" ht="25" customHeight="1" outlineLevel="1" x14ac:dyDescent="0.2">
      <c r="B167" s="22">
        <v>148</v>
      </c>
      <c r="C167" s="30" t="str">
        <f>'Part 2'!C163</f>
        <v xml:space="preserve"> Are the organisation's information processing facilities implemented with sufficient redundancy to meet JLR's availability requirements?</v>
      </c>
      <c r="D167" s="20">
        <v>5</v>
      </c>
      <c r="E167" s="20">
        <f t="shared" si="9"/>
        <v>5</v>
      </c>
      <c r="F167" s="48"/>
      <c r="G167" s="48"/>
      <c r="H167" s="49" t="str">
        <f>'Part 2'!D163</f>
        <v>Fully implemented</v>
      </c>
      <c r="I167" s="17">
        <f>E167*VLOOKUP(H167,Lists!$B$4:$C$10,2,FALSE)/5</f>
        <v>100</v>
      </c>
    </row>
    <row r="168" spans="2:9" ht="25" customHeight="1" outlineLevel="1" x14ac:dyDescent="0.2">
      <c r="B168" s="22">
        <v>149</v>
      </c>
      <c r="C168" s="30" t="str">
        <f>'Part 2'!C164</f>
        <v xml:space="preserve"> Have redundant architectures been implemented where availability cannot otherwise be guaranteed?</v>
      </c>
      <c r="D168" s="20">
        <v>5</v>
      </c>
      <c r="E168" s="20">
        <f t="shared" si="9"/>
        <v>5</v>
      </c>
      <c r="F168" s="48"/>
      <c r="G168" s="48"/>
      <c r="H168" s="49" t="str">
        <f>'Part 2'!D164</f>
        <v>Fully implemented</v>
      </c>
      <c r="I168" s="17">
        <f>E168*VLOOKUP(H168,Lists!$B$4:$C$10,2,FALSE)/5</f>
        <v>100</v>
      </c>
    </row>
    <row r="169" spans="2:9" ht="25" customHeight="1" outlineLevel="1" thickBot="1" x14ac:dyDescent="0.25">
      <c r="B169" s="22">
        <v>150</v>
      </c>
      <c r="C169" s="30" t="str">
        <f>'Part 2'!C165</f>
        <v xml:space="preserve"> Are redundant architectures tested regularly?</v>
      </c>
      <c r="D169" s="20">
        <v>5</v>
      </c>
      <c r="E169" s="20">
        <f t="shared" si="9"/>
        <v>5</v>
      </c>
      <c r="F169" s="48"/>
      <c r="G169" s="48"/>
      <c r="H169" s="49" t="str">
        <f>'Part 2'!D165</f>
        <v>Fully implemented</v>
      </c>
      <c r="I169" s="17">
        <f>E169*VLOOKUP(H169,Lists!$B$4:$C$10,2,FALSE)/5</f>
        <v>100</v>
      </c>
    </row>
    <row r="170" spans="2:9" ht="25" customHeight="1" thickBot="1" x14ac:dyDescent="0.25">
      <c r="B170" s="101" t="s">
        <v>344</v>
      </c>
      <c r="C170" s="111"/>
      <c r="D170" s="112"/>
      <c r="E170" s="112"/>
      <c r="F170" s="112"/>
      <c r="G170" s="112"/>
      <c r="H170" s="112"/>
      <c r="I170" s="113"/>
    </row>
    <row r="171" spans="2:9" ht="25" customHeight="1" outlineLevel="1" x14ac:dyDescent="0.2">
      <c r="B171" s="31">
        <v>151</v>
      </c>
      <c r="C171" s="30" t="str">
        <f>'Part 2'!C167</f>
        <v>Does the organisation have a privacy officer or other individual responsible for providing guidance to managers, users and service providers on their responsibilities and specific privacy related procedures?</v>
      </c>
      <c r="D171" s="32">
        <v>5</v>
      </c>
      <c r="E171" s="32">
        <f t="shared" si="9"/>
        <v>5</v>
      </c>
      <c r="F171" s="48"/>
      <c r="G171" s="48"/>
      <c r="H171" s="49" t="str">
        <f>'Part 2'!D167</f>
        <v>Fully implemented</v>
      </c>
      <c r="I171" s="18">
        <f>E171*VLOOKUP(H171,Lists!$B$4:$C$10,2,FALSE)/5</f>
        <v>100</v>
      </c>
    </row>
    <row r="172" spans="2:9" ht="25" customHeight="1" outlineLevel="1" x14ac:dyDescent="0.2">
      <c r="B172" s="22">
        <v>152</v>
      </c>
      <c r="C172" s="30" t="str">
        <f>'Part 2'!C168</f>
        <v>Does the organisation undertake privacy impact assessments on new IT systems/services or when a significant change or upgrade to an IT system/service is planned?</v>
      </c>
      <c r="D172" s="20">
        <v>5</v>
      </c>
      <c r="E172" s="20">
        <f t="shared" si="9"/>
        <v>5</v>
      </c>
      <c r="F172" s="48"/>
      <c r="G172" s="48"/>
      <c r="H172" s="49" t="str">
        <f>'Part 2'!D168</f>
        <v>Fully implemented</v>
      </c>
      <c r="I172" s="17">
        <f>E172*VLOOKUP(H172,Lists!$B$4:$C$10,2,FALSE)/5</f>
        <v>100</v>
      </c>
    </row>
    <row r="173" spans="2:9" ht="25" customHeight="1" outlineLevel="1" x14ac:dyDescent="0.2">
      <c r="B173" s="22">
        <v>153</v>
      </c>
      <c r="C173" s="30" t="str">
        <f>'Part 2'!C169</f>
        <v xml:space="preserve"> Are the organisation's IT systems regularly reviewed for compliance with the organisation's information/cyber security policies?</v>
      </c>
      <c r="D173" s="20">
        <v>5</v>
      </c>
      <c r="E173" s="20">
        <f t="shared" si="9"/>
        <v>5</v>
      </c>
      <c r="F173" s="48"/>
      <c r="G173" s="48"/>
      <c r="H173" s="49" t="str">
        <f>'Part 2'!D169</f>
        <v>Partially Implemented</v>
      </c>
      <c r="I173" s="17">
        <f>E173*VLOOKUP(H173,Lists!$B$4:$C$10,2,FALSE)/5</f>
        <v>50</v>
      </c>
    </row>
    <row r="174" spans="2:9" ht="25" customHeight="1" outlineLevel="1" x14ac:dyDescent="0.2">
      <c r="B174" s="22">
        <v>154</v>
      </c>
      <c r="C174" s="30" t="str">
        <f>'Part 2'!C170</f>
        <v xml:space="preserve"> Are penetration tests regularly undertaken?</v>
      </c>
      <c r="D174" s="20">
        <v>5</v>
      </c>
      <c r="E174" s="20">
        <f t="shared" si="9"/>
        <v>5</v>
      </c>
      <c r="F174" s="139" t="s">
        <v>337</v>
      </c>
      <c r="G174" s="48"/>
      <c r="H174" s="49" t="str">
        <f>'Part 2'!D170</f>
        <v>Minimal Implementation</v>
      </c>
      <c r="I174" s="17">
        <f>E174*VLOOKUP(H174,Lists!$B$4:$C$10,2,FALSE)/5</f>
        <v>25</v>
      </c>
    </row>
    <row r="175" spans="2:9" ht="25" customHeight="1" outlineLevel="1" x14ac:dyDescent="0.2">
      <c r="B175" s="22">
        <v>155</v>
      </c>
      <c r="C175" s="30" t="str">
        <f>'Part 2'!C171</f>
        <v>Are electronic vulnerability scans regularly undertaken?</v>
      </c>
      <c r="D175" s="20">
        <v>5</v>
      </c>
      <c r="E175" s="20">
        <f t="shared" si="9"/>
        <v>0</v>
      </c>
      <c r="F175" s="139" t="s">
        <v>337</v>
      </c>
      <c r="G175" s="48"/>
      <c r="H175" s="49" t="str">
        <f>'Part 2'!D171</f>
        <v>Not Applicable</v>
      </c>
      <c r="I175" s="17">
        <f>E175*VLOOKUP(H175,Lists!$B$4:$C$10,2,FALSE)/5</f>
        <v>0</v>
      </c>
    </row>
    <row r="176" spans="2:9" ht="25" customHeight="1" outlineLevel="1" x14ac:dyDescent="0.2">
      <c r="B176" s="22">
        <v>156</v>
      </c>
      <c r="C176" s="30" t="str">
        <f>'Part 2'!C172</f>
        <v xml:space="preserve"> Are effectiveness measures defined for all controls?</v>
      </c>
      <c r="D176" s="20">
        <v>5</v>
      </c>
      <c r="E176" s="20">
        <f t="shared" si="9"/>
        <v>5</v>
      </c>
      <c r="F176" s="48"/>
      <c r="G176" s="48"/>
      <c r="H176" s="49" t="str">
        <f>'Part 2'!D172</f>
        <v>Partially Implemented</v>
      </c>
      <c r="I176" s="17">
        <f>E176*VLOOKUP(H176,Lists!$B$4:$C$10,2,FALSE)/5</f>
        <v>50</v>
      </c>
    </row>
    <row r="177" spans="2:9" ht="25" customHeight="1" outlineLevel="1" x14ac:dyDescent="0.2">
      <c r="B177" s="22">
        <v>157</v>
      </c>
      <c r="C177" s="30" t="str">
        <f>'Part 2'!C173</f>
        <v xml:space="preserve"> Is the organisation's approach to managing information security and its implementation independently reviewed at planned intervals or when significant changes occur?</v>
      </c>
      <c r="D177" s="20">
        <v>5</v>
      </c>
      <c r="E177" s="20">
        <f t="shared" si="9"/>
        <v>5</v>
      </c>
      <c r="F177" s="48"/>
      <c r="G177" s="48"/>
      <c r="H177" s="49" t="str">
        <f>'Part 2'!D173</f>
        <v>Partially Implemented</v>
      </c>
      <c r="I177" s="17">
        <f>E177*VLOOKUP(H177,Lists!$B$4:$C$10,2,FALSE)/5</f>
        <v>50</v>
      </c>
    </row>
    <row r="178" spans="2:9" ht="25" customHeight="1" outlineLevel="1" x14ac:dyDescent="0.2">
      <c r="B178" s="22">
        <v>158</v>
      </c>
      <c r="C178" s="30" t="str">
        <f>'Part 2'!C174</f>
        <v xml:space="preserve"> Are the results of independent reviews recorded, reported to the management that initiated them and the records maintained?</v>
      </c>
      <c r="D178" s="20">
        <v>5</v>
      </c>
      <c r="E178" s="20">
        <f t="shared" si="9"/>
        <v>5</v>
      </c>
      <c r="F178" s="48"/>
      <c r="G178" s="48"/>
      <c r="H178" s="49" t="str">
        <f>'Part 2'!D174</f>
        <v>Partially Implemented</v>
      </c>
      <c r="I178" s="17">
        <f>E178*VLOOKUP(H178,Lists!$B$4:$C$10,2,FALSE)/5</f>
        <v>50</v>
      </c>
    </row>
    <row r="179" spans="2:9" ht="25" customHeight="1" outlineLevel="1" thickBot="1" x14ac:dyDescent="0.25">
      <c r="B179" s="23">
        <v>159</v>
      </c>
      <c r="C179" s="50" t="str">
        <f>'Part 2'!C175</f>
        <v>Are actions identified to correct non-compliance with policies recorded and acceptable remediation tracked?</v>
      </c>
      <c r="D179" s="21">
        <v>5</v>
      </c>
      <c r="E179" s="21">
        <f t="shared" si="9"/>
        <v>5</v>
      </c>
      <c r="F179" s="21"/>
      <c r="G179" s="21"/>
      <c r="H179" s="49" t="str">
        <f>'Part 2'!D175</f>
        <v>Partially Implemented</v>
      </c>
      <c r="I179" s="19">
        <f>E179*VLOOKUP(H179,Lists!$B$4:$C$10,2,FALSE)/5</f>
        <v>50</v>
      </c>
    </row>
    <row r="180" spans="2:9" ht="25" customHeight="1" x14ac:dyDescent="0.2"/>
    <row r="181" spans="2:9" ht="25" customHeight="1" x14ac:dyDescent="0.2"/>
    <row r="182" spans="2:9" ht="25" customHeight="1" x14ac:dyDescent="0.2"/>
    <row r="183" spans="2:9" ht="25" customHeight="1" x14ac:dyDescent="0.2">
      <c r="C183" s="3"/>
      <c r="D183" s="3"/>
      <c r="E183" s="3"/>
      <c r="F183" s="3"/>
      <c r="G183" s="3"/>
    </row>
  </sheetData>
  <sheetProtection insertHyperlinks="0" selectLockedCells="1"/>
  <autoFilter ref="B6:I179" xr:uid="{00000000-0001-0000-0200-000000000000}"/>
  <mergeCells count="16">
    <mergeCell ref="K2:L2"/>
    <mergeCell ref="C3:C4"/>
    <mergeCell ref="V7:Z7"/>
    <mergeCell ref="B7:I7"/>
    <mergeCell ref="V11:V15"/>
    <mergeCell ref="O2:V5"/>
    <mergeCell ref="X35:AB35"/>
    <mergeCell ref="V34:W35"/>
    <mergeCell ref="V29:V33"/>
    <mergeCell ref="V36:AB36"/>
    <mergeCell ref="B15:I15"/>
    <mergeCell ref="X17:AB17"/>
    <mergeCell ref="V20:V24"/>
    <mergeCell ref="X26:AB26"/>
    <mergeCell ref="V16:W17"/>
    <mergeCell ref="V25:W26"/>
  </mergeCells>
  <conditionalFormatting sqref="H8:H14 H144:H160">
    <cfRule type="containsBlanks" dxfId="106" priority="613">
      <formula>LEN(TRIM(H8))=0</formula>
    </cfRule>
  </conditionalFormatting>
  <conditionalFormatting sqref="H8:H14">
    <cfRule type="cellIs" dxfId="105" priority="205" operator="equal">
      <formula>"Please Select"</formula>
    </cfRule>
    <cfRule type="colorScale" priority="206">
      <colorScale>
        <cfvo type="min"/>
        <cfvo type="max"/>
        <color rgb="FFFF7128"/>
        <color rgb="FFFFEF9C"/>
      </colorScale>
    </cfRule>
  </conditionalFormatting>
  <conditionalFormatting sqref="H11:H14">
    <cfRule type="cellIs" dxfId="104" priority="142" operator="equal">
      <formula>"Please Select"</formula>
    </cfRule>
    <cfRule type="colorScale" priority="143">
      <colorScale>
        <cfvo type="min"/>
        <cfvo type="max"/>
        <color rgb="FFFF7128"/>
        <color rgb="FFFFEF9C"/>
      </colorScale>
    </cfRule>
    <cfRule type="containsBlanks" dxfId="103" priority="144">
      <formula>LEN(TRIM(H11))=0</formula>
    </cfRule>
  </conditionalFormatting>
  <conditionalFormatting sqref="H16:H22">
    <cfRule type="cellIs" dxfId="102" priority="79" operator="equal">
      <formula>"Please Select"</formula>
    </cfRule>
    <cfRule type="colorScale" priority="80">
      <colorScale>
        <cfvo type="min"/>
        <cfvo type="max"/>
        <color rgb="FFFF7128"/>
        <color rgb="FFFFEF9C"/>
      </colorScale>
    </cfRule>
    <cfRule type="containsBlanks" dxfId="101" priority="81">
      <formula>LEN(TRIM(H16))=0</formula>
    </cfRule>
    <cfRule type="cellIs" dxfId="100" priority="82" operator="equal">
      <formula>"Please Select"</formula>
    </cfRule>
    <cfRule type="colorScale" priority="83">
      <colorScale>
        <cfvo type="min"/>
        <cfvo type="max"/>
        <color rgb="FFFF7128"/>
        <color rgb="FFFFEF9C"/>
      </colorScale>
    </cfRule>
    <cfRule type="containsBlanks" dxfId="99" priority="84">
      <formula>LEN(TRIM(H16))=0</formula>
    </cfRule>
  </conditionalFormatting>
  <conditionalFormatting sqref="H24:H35">
    <cfRule type="cellIs" dxfId="98" priority="73" operator="equal">
      <formula>"Please Select"</formula>
    </cfRule>
    <cfRule type="colorScale" priority="74">
      <colorScale>
        <cfvo type="min"/>
        <cfvo type="max"/>
        <color rgb="FFFF7128"/>
        <color rgb="FFFFEF9C"/>
      </colorScale>
    </cfRule>
    <cfRule type="containsBlanks" dxfId="97" priority="75">
      <formula>LEN(TRIM(H24))=0</formula>
    </cfRule>
    <cfRule type="cellIs" dxfId="96" priority="76" operator="equal">
      <formula>"Please Select"</formula>
    </cfRule>
    <cfRule type="colorScale" priority="77">
      <colorScale>
        <cfvo type="min"/>
        <cfvo type="max"/>
        <color rgb="FFFF7128"/>
        <color rgb="FFFFEF9C"/>
      </colorScale>
    </cfRule>
    <cfRule type="containsBlanks" dxfId="95" priority="78">
      <formula>LEN(TRIM(H24))=0</formula>
    </cfRule>
  </conditionalFormatting>
  <conditionalFormatting sqref="H37:H47">
    <cfRule type="cellIs" dxfId="94" priority="67" operator="equal">
      <formula>"Please Select"</formula>
    </cfRule>
    <cfRule type="colorScale" priority="68">
      <colorScale>
        <cfvo type="min"/>
        <cfvo type="max"/>
        <color rgb="FFFF7128"/>
        <color rgb="FFFFEF9C"/>
      </colorScale>
    </cfRule>
    <cfRule type="containsBlanks" dxfId="93" priority="69">
      <formula>LEN(TRIM(H37))=0</formula>
    </cfRule>
    <cfRule type="cellIs" dxfId="92" priority="70" operator="equal">
      <formula>"Please Select"</formula>
    </cfRule>
    <cfRule type="colorScale" priority="71">
      <colorScale>
        <cfvo type="min"/>
        <cfvo type="max"/>
        <color rgb="FFFF7128"/>
        <color rgb="FFFFEF9C"/>
      </colorScale>
    </cfRule>
    <cfRule type="containsBlanks" dxfId="91" priority="72">
      <formula>LEN(TRIM(H37))=0</formula>
    </cfRule>
  </conditionalFormatting>
  <conditionalFormatting sqref="H49:H65">
    <cfRule type="cellIs" dxfId="90" priority="61" operator="equal">
      <formula>"Please Select"</formula>
    </cfRule>
    <cfRule type="colorScale" priority="62">
      <colorScale>
        <cfvo type="min"/>
        <cfvo type="max"/>
        <color rgb="FFFF7128"/>
        <color rgb="FFFFEF9C"/>
      </colorScale>
    </cfRule>
    <cfRule type="containsBlanks" dxfId="89" priority="63">
      <formula>LEN(TRIM(H49))=0</formula>
    </cfRule>
    <cfRule type="cellIs" dxfId="88" priority="64" operator="equal">
      <formula>"Please Select"</formula>
    </cfRule>
    <cfRule type="colorScale" priority="65">
      <colorScale>
        <cfvo type="min"/>
        <cfvo type="max"/>
        <color rgb="FFFF7128"/>
        <color rgb="FFFFEF9C"/>
      </colorScale>
    </cfRule>
    <cfRule type="containsBlanks" dxfId="87" priority="66">
      <formula>LEN(TRIM(H49))=0</formula>
    </cfRule>
  </conditionalFormatting>
  <conditionalFormatting sqref="H67:H74">
    <cfRule type="cellIs" dxfId="86" priority="55" operator="equal">
      <formula>"Please Select"</formula>
    </cfRule>
    <cfRule type="colorScale" priority="56">
      <colorScale>
        <cfvo type="min"/>
        <cfvo type="max"/>
        <color rgb="FFFF7128"/>
        <color rgb="FFFFEF9C"/>
      </colorScale>
    </cfRule>
    <cfRule type="containsBlanks" dxfId="85" priority="57">
      <formula>LEN(TRIM(H67))=0</formula>
    </cfRule>
    <cfRule type="cellIs" dxfId="84" priority="58" operator="equal">
      <formula>"Please Select"</formula>
    </cfRule>
    <cfRule type="colorScale" priority="59">
      <colorScale>
        <cfvo type="min"/>
        <cfvo type="max"/>
        <color rgb="FFFF7128"/>
        <color rgb="FFFFEF9C"/>
      </colorScale>
    </cfRule>
    <cfRule type="containsBlanks" dxfId="83" priority="60">
      <formula>LEN(TRIM(H67))=0</formula>
    </cfRule>
  </conditionalFormatting>
  <conditionalFormatting sqref="H76:H86">
    <cfRule type="cellIs" dxfId="82" priority="49" operator="equal">
      <formula>"Please Select"</formula>
    </cfRule>
    <cfRule type="colorScale" priority="50">
      <colorScale>
        <cfvo type="min"/>
        <cfvo type="max"/>
        <color rgb="FFFF7128"/>
        <color rgb="FFFFEF9C"/>
      </colorScale>
    </cfRule>
    <cfRule type="containsBlanks" dxfId="81" priority="51">
      <formula>LEN(TRIM(H76))=0</formula>
    </cfRule>
    <cfRule type="cellIs" dxfId="80" priority="52" operator="equal">
      <formula>"Please Select"</formula>
    </cfRule>
    <cfRule type="colorScale" priority="53">
      <colorScale>
        <cfvo type="min"/>
        <cfvo type="max"/>
        <color rgb="FFFF7128"/>
        <color rgb="FFFFEF9C"/>
      </colorScale>
    </cfRule>
    <cfRule type="containsBlanks" dxfId="79" priority="54">
      <formula>LEN(TRIM(H76))=0</formula>
    </cfRule>
  </conditionalFormatting>
  <conditionalFormatting sqref="H88:H104">
    <cfRule type="cellIs" dxfId="78" priority="43" operator="equal">
      <formula>"Please Select"</formula>
    </cfRule>
    <cfRule type="colorScale" priority="44">
      <colorScale>
        <cfvo type="min"/>
        <cfvo type="max"/>
        <color rgb="FFFF7128"/>
        <color rgb="FFFFEF9C"/>
      </colorScale>
    </cfRule>
    <cfRule type="containsBlanks" dxfId="77" priority="45">
      <formula>LEN(TRIM(H88))=0</formula>
    </cfRule>
    <cfRule type="cellIs" dxfId="76" priority="46" operator="equal">
      <formula>"Please Select"</formula>
    </cfRule>
    <cfRule type="colorScale" priority="47">
      <colorScale>
        <cfvo type="min"/>
        <cfvo type="max"/>
        <color rgb="FFFF7128"/>
        <color rgb="FFFFEF9C"/>
      </colorScale>
    </cfRule>
    <cfRule type="containsBlanks" dxfId="75" priority="48">
      <formula>LEN(TRIM(H88))=0</formula>
    </cfRule>
  </conditionalFormatting>
  <conditionalFormatting sqref="H106:H115">
    <cfRule type="cellIs" dxfId="74" priority="37" operator="equal">
      <formula>"Please Select"</formula>
    </cfRule>
    <cfRule type="colorScale" priority="38">
      <colorScale>
        <cfvo type="min"/>
        <cfvo type="max"/>
        <color rgb="FFFF7128"/>
        <color rgb="FFFFEF9C"/>
      </colorScale>
    </cfRule>
    <cfRule type="containsBlanks" dxfId="73" priority="39">
      <formula>LEN(TRIM(H106))=0</formula>
    </cfRule>
    <cfRule type="cellIs" dxfId="72" priority="40" operator="equal">
      <formula>"Please Select"</formula>
    </cfRule>
    <cfRule type="colorScale" priority="41">
      <colorScale>
        <cfvo type="min"/>
        <cfvo type="max"/>
        <color rgb="FFFF7128"/>
        <color rgb="FFFFEF9C"/>
      </colorScale>
    </cfRule>
    <cfRule type="containsBlanks" dxfId="71" priority="42">
      <formula>LEN(TRIM(H106))=0</formula>
    </cfRule>
  </conditionalFormatting>
  <conditionalFormatting sqref="H117:H131">
    <cfRule type="cellIs" dxfId="70" priority="31" operator="equal">
      <formula>"Please Select"</formula>
    </cfRule>
    <cfRule type="colorScale" priority="32">
      <colorScale>
        <cfvo type="min"/>
        <cfvo type="max"/>
        <color rgb="FFFF7128"/>
        <color rgb="FFFFEF9C"/>
      </colorScale>
    </cfRule>
    <cfRule type="containsBlanks" dxfId="69" priority="33">
      <formula>LEN(TRIM(H117))=0</formula>
    </cfRule>
    <cfRule type="cellIs" dxfId="68" priority="34" operator="equal">
      <formula>"Please Select"</formula>
    </cfRule>
    <cfRule type="colorScale" priority="35">
      <colorScale>
        <cfvo type="min"/>
        <cfvo type="max"/>
        <color rgb="FFFF7128"/>
        <color rgb="FFFFEF9C"/>
      </colorScale>
    </cfRule>
    <cfRule type="containsBlanks" dxfId="67" priority="36">
      <formula>LEN(TRIM(H117))=0</formula>
    </cfRule>
  </conditionalFormatting>
  <conditionalFormatting sqref="H133:H142">
    <cfRule type="cellIs" dxfId="66" priority="25" operator="equal">
      <formula>"Please Select"</formula>
    </cfRule>
    <cfRule type="colorScale" priority="26">
      <colorScale>
        <cfvo type="min"/>
        <cfvo type="max"/>
        <color rgb="FFFF7128"/>
        <color rgb="FFFFEF9C"/>
      </colorScale>
    </cfRule>
    <cfRule type="containsBlanks" dxfId="65" priority="27">
      <formula>LEN(TRIM(H133))=0</formula>
    </cfRule>
    <cfRule type="cellIs" dxfId="64" priority="28" operator="equal">
      <formula>"Please Select"</formula>
    </cfRule>
    <cfRule type="colorScale" priority="29">
      <colorScale>
        <cfvo type="min"/>
        <cfvo type="max"/>
        <color rgb="FFFF7128"/>
        <color rgb="FFFFEF9C"/>
      </colorScale>
    </cfRule>
    <cfRule type="containsBlanks" dxfId="63" priority="30">
      <formula>LEN(TRIM(H133))=0</formula>
    </cfRule>
  </conditionalFormatting>
  <conditionalFormatting sqref="H144:H160">
    <cfRule type="cellIs" dxfId="62" priority="632" operator="equal">
      <formula>"Please Select"</formula>
    </cfRule>
    <cfRule type="colorScale" priority="633">
      <colorScale>
        <cfvo type="min"/>
        <cfvo type="max"/>
        <color rgb="FFFF7128"/>
        <color rgb="FFFFEF9C"/>
      </colorScale>
    </cfRule>
  </conditionalFormatting>
  <conditionalFormatting sqref="H162:H169">
    <cfRule type="cellIs" dxfId="61" priority="13" operator="equal">
      <formula>"Please Select"</formula>
    </cfRule>
    <cfRule type="colorScale" priority="14">
      <colorScale>
        <cfvo type="min"/>
        <cfvo type="max"/>
        <color rgb="FFFF7128"/>
        <color rgb="FFFFEF9C"/>
      </colorScale>
    </cfRule>
    <cfRule type="containsBlanks" dxfId="60" priority="15">
      <formula>LEN(TRIM(H162))=0</formula>
    </cfRule>
    <cfRule type="cellIs" dxfId="59" priority="16" operator="equal">
      <formula>"Please Select"</formula>
    </cfRule>
    <cfRule type="colorScale" priority="17">
      <colorScale>
        <cfvo type="min"/>
        <cfvo type="max"/>
        <color rgb="FFFF7128"/>
        <color rgb="FFFFEF9C"/>
      </colorScale>
    </cfRule>
    <cfRule type="containsBlanks" dxfId="58" priority="18">
      <formula>LEN(TRIM(H162))=0</formula>
    </cfRule>
  </conditionalFormatting>
  <conditionalFormatting sqref="H171:H179">
    <cfRule type="cellIs" dxfId="57" priority="7" operator="equal">
      <formula>"Please Select"</formula>
    </cfRule>
    <cfRule type="colorScale" priority="8">
      <colorScale>
        <cfvo type="min"/>
        <cfvo type="max"/>
        <color rgb="FFFF7128"/>
        <color rgb="FFFFEF9C"/>
      </colorScale>
    </cfRule>
    <cfRule type="containsBlanks" dxfId="56" priority="9">
      <formula>LEN(TRIM(H171))=0</formula>
    </cfRule>
    <cfRule type="cellIs" dxfId="55" priority="10" operator="equal">
      <formula>"Please Select"</formula>
    </cfRule>
    <cfRule type="colorScale" priority="11">
      <colorScale>
        <cfvo type="min"/>
        <cfvo type="max"/>
        <color rgb="FFFF7128"/>
        <color rgb="FFFFEF9C"/>
      </colorScale>
    </cfRule>
    <cfRule type="containsBlanks" dxfId="54" priority="12">
      <formula>LEN(TRIM(H171))=0</formula>
    </cfRule>
  </conditionalFormatting>
  <conditionalFormatting sqref="I8:I14 I16:I22">
    <cfRule type="cellIs" dxfId="53" priority="374" stopIfTrue="1" operator="between">
      <formula>0</formula>
      <formula>19</formula>
    </cfRule>
    <cfRule type="cellIs" dxfId="52" priority="375" stopIfTrue="1" operator="between">
      <formula>20</formula>
      <formula>49</formula>
    </cfRule>
    <cfRule type="cellIs" dxfId="51" priority="376" stopIfTrue="1" operator="between">
      <formula>50</formula>
      <formula>79</formula>
    </cfRule>
    <cfRule type="cellIs" dxfId="50" priority="377" stopIfTrue="1" operator="between">
      <formula>80</formula>
      <formula>89</formula>
    </cfRule>
    <cfRule type="cellIs" dxfId="49" priority="378" stopIfTrue="1" operator="between">
      <formula>90</formula>
      <formula>100</formula>
    </cfRule>
    <cfRule type="expression" dxfId="48" priority="379" stopIfTrue="1">
      <formula>"&lt;=10"</formula>
    </cfRule>
  </conditionalFormatting>
  <conditionalFormatting sqref="I24:I35 I37:I47 I88:I104 I106:I115 I117:I131 I133:I142 I144:I160 I162:I169 I171:I179">
    <cfRule type="cellIs" dxfId="47" priority="386" stopIfTrue="1" operator="between">
      <formula>0</formula>
      <formula>19</formula>
    </cfRule>
    <cfRule type="cellIs" dxfId="46" priority="387" stopIfTrue="1" operator="between">
      <formula>20</formula>
      <formula>49</formula>
    </cfRule>
    <cfRule type="cellIs" dxfId="45" priority="388" stopIfTrue="1" operator="between">
      <formula>50</formula>
      <formula>79</formula>
    </cfRule>
    <cfRule type="cellIs" dxfId="44" priority="389" stopIfTrue="1" operator="between">
      <formula>80</formula>
      <formula>89</formula>
    </cfRule>
    <cfRule type="cellIs" dxfId="43" priority="390" stopIfTrue="1" operator="between">
      <formula>90</formula>
      <formula>100</formula>
    </cfRule>
    <cfRule type="expression" dxfId="42" priority="391" stopIfTrue="1">
      <formula>"&lt;=10"</formula>
    </cfRule>
  </conditionalFormatting>
  <conditionalFormatting sqref="I49:I65">
    <cfRule type="cellIs" dxfId="41" priority="310" stopIfTrue="1" operator="between">
      <formula>0</formula>
      <formula>19</formula>
    </cfRule>
    <cfRule type="cellIs" dxfId="40" priority="311" stopIfTrue="1" operator="between">
      <formula>20</formula>
      <formula>49</formula>
    </cfRule>
    <cfRule type="cellIs" dxfId="39" priority="312" stopIfTrue="1" operator="between">
      <formula>50</formula>
      <formula>79</formula>
    </cfRule>
    <cfRule type="cellIs" dxfId="38" priority="313" stopIfTrue="1" operator="between">
      <formula>80</formula>
      <formula>89</formula>
    </cfRule>
    <cfRule type="cellIs" dxfId="37" priority="314" stopIfTrue="1" operator="between">
      <formula>90</formula>
      <formula>100</formula>
    </cfRule>
    <cfRule type="expression" dxfId="36" priority="315" stopIfTrue="1">
      <formula>"&lt;=10"</formula>
    </cfRule>
  </conditionalFormatting>
  <conditionalFormatting sqref="I67:I74">
    <cfRule type="cellIs" dxfId="35" priority="289" stopIfTrue="1" operator="between">
      <formula>0</formula>
      <formula>19</formula>
    </cfRule>
    <cfRule type="cellIs" dxfId="34" priority="290" stopIfTrue="1" operator="between">
      <formula>20</formula>
      <formula>49</formula>
    </cfRule>
    <cfRule type="cellIs" dxfId="33" priority="291" stopIfTrue="1" operator="between">
      <formula>50</formula>
      <formula>79</formula>
    </cfRule>
    <cfRule type="cellIs" dxfId="32" priority="292" stopIfTrue="1" operator="between">
      <formula>80</formula>
      <formula>89</formula>
    </cfRule>
    <cfRule type="cellIs" dxfId="31" priority="293" stopIfTrue="1" operator="between">
      <formula>90</formula>
      <formula>100</formula>
    </cfRule>
    <cfRule type="expression" dxfId="30" priority="294" stopIfTrue="1">
      <formula>"&lt;=10"</formula>
    </cfRule>
  </conditionalFormatting>
  <conditionalFormatting sqref="I76:I86">
    <cfRule type="cellIs" dxfId="29" priority="247" stopIfTrue="1" operator="between">
      <formula>0</formula>
      <formula>19</formula>
    </cfRule>
    <cfRule type="cellIs" dxfId="28" priority="248" stopIfTrue="1" operator="between">
      <formula>20</formula>
      <formula>49</formula>
    </cfRule>
    <cfRule type="cellIs" dxfId="27" priority="249" stopIfTrue="1" operator="between">
      <formula>50</formula>
      <formula>79</formula>
    </cfRule>
    <cfRule type="cellIs" dxfId="26" priority="250" stopIfTrue="1" operator="between">
      <formula>80</formula>
      <formula>89</formula>
    </cfRule>
    <cfRule type="cellIs" dxfId="25" priority="251" stopIfTrue="1" operator="between">
      <formula>90</formula>
      <formula>100</formula>
    </cfRule>
    <cfRule type="expression" dxfId="24" priority="252" stopIfTrue="1">
      <formula>"&lt;=10"</formula>
    </cfRule>
  </conditionalFormatting>
  <conditionalFormatting sqref="L3">
    <cfRule type="cellIs" dxfId="23" priority="91" stopIfTrue="1" operator="equal">
      <formula>5</formula>
    </cfRule>
    <cfRule type="cellIs" dxfId="22" priority="92" stopIfTrue="1" operator="equal">
      <formula>4</formula>
    </cfRule>
    <cfRule type="cellIs" dxfId="21" priority="93" stopIfTrue="1" operator="equal">
      <formula>3</formula>
    </cfRule>
    <cfRule type="cellIs" dxfId="20" priority="94" stopIfTrue="1" operator="equal">
      <formula>2</formula>
    </cfRule>
    <cfRule type="cellIs" dxfId="19" priority="95" stopIfTrue="1" operator="equal">
      <formula>1</formula>
    </cfRule>
    <cfRule type="expression" dxfId="18" priority="96" stopIfTrue="1">
      <formula>"&lt;=10"</formula>
    </cfRule>
  </conditionalFormatting>
  <conditionalFormatting sqref="L4">
    <cfRule type="cellIs" dxfId="17" priority="151" stopIfTrue="1" operator="between">
      <formula>0</formula>
      <formula>19.99</formula>
    </cfRule>
    <cfRule type="cellIs" dxfId="16" priority="152" stopIfTrue="1" operator="between">
      <formula>20</formula>
      <formula>49.99</formula>
    </cfRule>
    <cfRule type="cellIs" dxfId="15" priority="153" stopIfTrue="1" operator="between">
      <formula>50</formula>
      <formula>79.99</formula>
    </cfRule>
    <cfRule type="cellIs" dxfId="14" priority="154" stopIfTrue="1" operator="between">
      <formula>80</formula>
      <formula>89.99</formula>
    </cfRule>
    <cfRule type="cellIs" dxfId="13" priority="155" stopIfTrue="1" operator="between">
      <formula>90</formula>
      <formula>100</formula>
    </cfRule>
    <cfRule type="expression" dxfId="12" priority="156" stopIfTrue="1">
      <formula>"&lt;=10"</formula>
    </cfRule>
  </conditionalFormatting>
  <conditionalFormatting sqref="L5">
    <cfRule type="cellIs" dxfId="11" priority="145" stopIfTrue="1" operator="equal">
      <formula>5</formula>
    </cfRule>
    <cfRule type="cellIs" dxfId="10" priority="146" stopIfTrue="1" operator="equal">
      <formula>4</formula>
    </cfRule>
    <cfRule type="cellIs" dxfId="9" priority="147" stopIfTrue="1" operator="equal">
      <formula>3</formula>
    </cfRule>
    <cfRule type="cellIs" dxfId="8" priority="148" stopIfTrue="1" operator="equal">
      <formula>2</formula>
    </cfRule>
    <cfRule type="cellIs" dxfId="7" priority="149" stopIfTrue="1" operator="equal">
      <formula>1</formula>
    </cfRule>
    <cfRule type="expression" dxfId="6" priority="150" stopIfTrue="1">
      <formula>"&lt;=10"</formula>
    </cfRule>
  </conditionalFormatting>
  <conditionalFormatting sqref="L9:L22">
    <cfRule type="cellIs" dxfId="5" priority="157" stopIfTrue="1" operator="between">
      <formula>0</formula>
      <formula>19.99</formula>
    </cfRule>
    <cfRule type="cellIs" dxfId="4" priority="158" stopIfTrue="1" operator="between">
      <formula>20</formula>
      <formula>49.99</formula>
    </cfRule>
    <cfRule type="cellIs" dxfId="3" priority="159" stopIfTrue="1" operator="between">
      <formula>50</formula>
      <formula>79.99</formula>
    </cfRule>
    <cfRule type="cellIs" dxfId="2" priority="160" stopIfTrue="1" operator="between">
      <formula>80</formula>
      <formula>89.99</formula>
    </cfRule>
    <cfRule type="cellIs" dxfId="1" priority="161" stopIfTrue="1" operator="between">
      <formula>90</formula>
      <formula>100</formula>
    </cfRule>
    <cfRule type="expression" dxfId="0" priority="162" stopIfTrue="1">
      <formula>"&lt;=10"</formula>
    </cfRule>
  </conditionalFormatting>
  <pageMargins left="0.70000000000000007" right="0.70000000000000007" top="0.75" bottom="0.75" header="0.30000000000000004" footer="0.30000000000000004"/>
  <pageSetup paperSize="9" fitToWidth="0" fitToHeight="0" orientation="portrait" r:id="rId1"/>
  <ignoredErrors>
    <ignoredError sqref="I8:I14 I16:I22 I24:I35 I37:I47 I90:I104 I106:I115 I128:I131 I160 I164:I169 I171:I179 I49:I65 I67:I74 I76:I86 I88 I117 I150:I157 H10:H14 H8:H9 H16" unlockedFormula="1"/>
    <ignoredError sqref="AA11:AA13 AA20:AA24" 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F6D7290-FEB7-45FD-8600-EC01EC051F5C}">
          <x14:formula1>
            <xm:f>Lists!$C$12:$C$16</xm:f>
          </x14:formula1>
          <xm:sqref>D171:D179 D162:D169 D16:D22 D24:D35 D37:D47 D49:D65 D67:D74 D76:D86 D88:D104 D106:D115 D117:D131 D133:D142 D8:D14 D144:D160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F9E8-AD2A-42A3-ABE9-061EA0E98B64}">
  <sheetPr codeName="Sheet7"/>
  <dimension ref="B3:C27"/>
  <sheetViews>
    <sheetView workbookViewId="0">
      <selection activeCell="F27" sqref="F27"/>
    </sheetView>
  </sheetViews>
  <sheetFormatPr baseColWidth="10" defaultColWidth="8.83203125" defaultRowHeight="16" x14ac:dyDescent="0.2"/>
  <cols>
    <col min="2" max="2" width="21.6640625" style="6" bestFit="1" customWidth="1"/>
  </cols>
  <sheetData>
    <row r="3" spans="2:3" x14ac:dyDescent="0.2">
      <c r="B3" s="4" t="s">
        <v>345</v>
      </c>
      <c r="C3" s="4" t="s">
        <v>318</v>
      </c>
    </row>
    <row r="4" spans="2:3" x14ac:dyDescent="0.2">
      <c r="B4" s="5" t="s">
        <v>336</v>
      </c>
      <c r="C4">
        <v>0</v>
      </c>
    </row>
    <row r="5" spans="2:3" x14ac:dyDescent="0.2">
      <c r="B5" s="5" t="s">
        <v>58</v>
      </c>
      <c r="C5">
        <v>0</v>
      </c>
    </row>
    <row r="6" spans="2:3" x14ac:dyDescent="0.2">
      <c r="B6" s="5" t="s">
        <v>81</v>
      </c>
      <c r="C6">
        <v>0</v>
      </c>
    </row>
    <row r="7" spans="2:3" x14ac:dyDescent="0.2">
      <c r="B7" s="5" t="s">
        <v>120</v>
      </c>
      <c r="C7">
        <v>25</v>
      </c>
    </row>
    <row r="8" spans="2:3" x14ac:dyDescent="0.2">
      <c r="B8" s="5" t="s">
        <v>42</v>
      </c>
      <c r="C8">
        <v>50</v>
      </c>
    </row>
    <row r="9" spans="2:3" x14ac:dyDescent="0.2">
      <c r="B9" s="5" t="s">
        <v>55</v>
      </c>
      <c r="C9">
        <v>75</v>
      </c>
    </row>
    <row r="10" spans="2:3" x14ac:dyDescent="0.2">
      <c r="B10" s="5" t="s">
        <v>61</v>
      </c>
      <c r="C10">
        <v>100</v>
      </c>
    </row>
    <row r="11" spans="2:3" x14ac:dyDescent="0.2">
      <c r="B11" s="7" t="s">
        <v>346</v>
      </c>
      <c r="C11" s="7" t="s">
        <v>318</v>
      </c>
    </row>
    <row r="12" spans="2:3" x14ac:dyDescent="0.2">
      <c r="B12" s="6" t="s">
        <v>347</v>
      </c>
      <c r="C12">
        <v>5</v>
      </c>
    </row>
    <row r="13" spans="2:3" x14ac:dyDescent="0.2">
      <c r="B13" s="5" t="s">
        <v>348</v>
      </c>
      <c r="C13">
        <v>4</v>
      </c>
    </row>
    <row r="14" spans="2:3" x14ac:dyDescent="0.2">
      <c r="B14" s="5" t="s">
        <v>349</v>
      </c>
      <c r="C14">
        <v>3</v>
      </c>
    </row>
    <row r="15" spans="2:3" x14ac:dyDescent="0.2">
      <c r="B15" s="5" t="s">
        <v>350</v>
      </c>
      <c r="C15">
        <v>2</v>
      </c>
    </row>
    <row r="16" spans="2:3" x14ac:dyDescent="0.2">
      <c r="B16" s="6" t="s">
        <v>351</v>
      </c>
      <c r="C16">
        <v>1</v>
      </c>
    </row>
    <row r="17" spans="2:2" x14ac:dyDescent="0.2">
      <c r="B17" s="7" t="s">
        <v>352</v>
      </c>
    </row>
    <row r="18" spans="2:2" x14ac:dyDescent="0.2">
      <c r="B18" s="6" t="s">
        <v>336</v>
      </c>
    </row>
    <row r="19" spans="2:2" x14ac:dyDescent="0.2">
      <c r="B19" s="6" t="s">
        <v>37</v>
      </c>
    </row>
    <row r="20" spans="2:2" x14ac:dyDescent="0.2">
      <c r="B20" s="6" t="s">
        <v>36</v>
      </c>
    </row>
    <row r="21" spans="2:2" x14ac:dyDescent="0.2">
      <c r="B21" s="7" t="s">
        <v>353</v>
      </c>
    </row>
    <row r="22" spans="2:2" x14ac:dyDescent="0.2">
      <c r="B22" s="6" t="s">
        <v>336</v>
      </c>
    </row>
    <row r="23" spans="2:2" x14ac:dyDescent="0.2">
      <c r="B23" s="6">
        <v>5</v>
      </c>
    </row>
    <row r="24" spans="2:2" x14ac:dyDescent="0.2">
      <c r="B24" s="6">
        <v>4</v>
      </c>
    </row>
    <row r="25" spans="2:2" x14ac:dyDescent="0.2">
      <c r="B25" s="6">
        <v>3</v>
      </c>
    </row>
    <row r="26" spans="2:2" x14ac:dyDescent="0.2">
      <c r="B26" s="6">
        <v>2</v>
      </c>
    </row>
    <row r="27" spans="2:2" x14ac:dyDescent="0.2">
      <c r="B27" s="6">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22373a4f-0b3c-4844-9770-5b35d94089de" xsi:nil="true"/>
    <lcf76f155ced4ddcb4097134ff3c332f xmlns="3d9221ac-ed9c-4eea-b9d6-d31a373641dd">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24D2142EE5B4A4BA4B4C20FFAA593D0" ma:contentTypeVersion="14" ma:contentTypeDescription="Create a new document." ma:contentTypeScope="" ma:versionID="37b8b29fe12d95647f05bc339fab5146">
  <xsd:schema xmlns:xsd="http://www.w3.org/2001/XMLSchema" xmlns:xs="http://www.w3.org/2001/XMLSchema" xmlns:p="http://schemas.microsoft.com/office/2006/metadata/properties" xmlns:ns2="22373a4f-0b3c-4844-9770-5b35d94089de" xmlns:ns3="3d9221ac-ed9c-4eea-b9d6-d31a373641dd" targetNamespace="http://schemas.microsoft.com/office/2006/metadata/properties" ma:root="true" ma:fieldsID="625c5dac64a8f55e18182967ae702853" ns2:_="" ns3:_="">
    <xsd:import namespace="22373a4f-0b3c-4844-9770-5b35d94089de"/>
    <xsd:import namespace="3d9221ac-ed9c-4eea-b9d6-d31a373641d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lcf76f155ced4ddcb4097134ff3c332f" minOccurs="0"/>
                <xsd:element ref="ns2:TaxCatchAll" minOccurs="0"/>
                <xsd:element ref="ns3:MediaServiceDateTaken" minOccurs="0"/>
                <xsd:element ref="ns3:MediaServiceOCR" minOccurs="0"/>
                <xsd:element ref="ns3:MediaServiceGenerationTime" minOccurs="0"/>
                <xsd:element ref="ns3:MediaServiceEventHashCode" minOccurs="0"/>
                <xsd:element ref="ns3:MediaLengthInSecond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373a4f-0b3c-4844-9770-5b35d94089d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5" nillable="true" ma:displayName="Taxonomy Catch All Column" ma:hidden="true" ma:list="{5409aa1c-1348-4f38-b55e-174e679c1268}" ma:internalName="TaxCatchAll" ma:showField="CatchAllData" ma:web="22373a4f-0b3c-4844-9770-5b35d94089d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d9221ac-ed9c-4eea-b9d6-d31a373641d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ad068f28-5d20-4d11-ad9b-e7ba6f13b2a8" ma:termSetId="09814cd3-568e-fe90-9814-8d621ff8fb84" ma:anchorId="fba54fb3-c3e1-fe81-a776-ca4b69148c4d" ma:open="true" ma:isKeyword="false">
      <xsd:complexType>
        <xsd:sequence>
          <xsd:element ref="pc:Terms" minOccurs="0" maxOccurs="1"/>
        </xsd:sequence>
      </xsd:complex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C194AB0-C2F5-4CB3-A2B9-2790599E2506}">
  <ds:schemaRefs>
    <ds:schemaRef ds:uri="http://schemas.microsoft.com/sharepoint/v3/contenttype/forms"/>
  </ds:schemaRefs>
</ds:datastoreItem>
</file>

<file path=customXml/itemProps2.xml><?xml version="1.0" encoding="utf-8"?>
<ds:datastoreItem xmlns:ds="http://schemas.openxmlformats.org/officeDocument/2006/customXml" ds:itemID="{1BBC9B03-787C-4F08-A00D-836F1F0067D5}">
  <ds:schemaRefs>
    <ds:schemaRef ds:uri="http://schemas.microsoft.com/office/2006/metadata/properties"/>
    <ds:schemaRef ds:uri="http://schemas.microsoft.com/office/infopath/2007/PartnerControls"/>
    <ds:schemaRef ds:uri="22373a4f-0b3c-4844-9770-5b35d94089de"/>
    <ds:schemaRef ds:uri="3d9221ac-ed9c-4eea-b9d6-d31a373641dd"/>
  </ds:schemaRefs>
</ds:datastoreItem>
</file>

<file path=customXml/itemProps3.xml><?xml version="1.0" encoding="utf-8"?>
<ds:datastoreItem xmlns:ds="http://schemas.openxmlformats.org/officeDocument/2006/customXml" ds:itemID="{65390B4A-0317-43BF-BF78-5ABBF1EE65C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373a4f-0b3c-4844-9770-5b35d94089de"/>
    <ds:schemaRef ds:uri="3d9221ac-ed9c-4eea-b9d6-d31a373641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8</vt:i4>
      </vt:variant>
    </vt:vector>
  </HeadingPairs>
  <TitlesOfParts>
    <vt:vector size="10" baseType="lpstr">
      <vt:lpstr>Version History</vt:lpstr>
      <vt:lpstr>Part 2</vt:lpstr>
      <vt:lpstr>'Version History'!_Toc102746743</vt:lpstr>
      <vt:lpstr>'Version History'!_Toc102746744</vt:lpstr>
      <vt:lpstr>'Version History'!_Toc102746745</vt:lpstr>
      <vt:lpstr>'Version History'!_Toc102746746</vt:lpstr>
      <vt:lpstr>'Version History'!_Toc102746747</vt:lpstr>
      <vt:lpstr>'Version History'!_Toc413422767</vt:lpstr>
      <vt:lpstr>'Version History'!_Toc494350877</vt:lpstr>
      <vt:lpstr>'Version History'!_Toc494350878</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SCSA-Questionnaire v2.1.xlsm</dc:title>
  <dc:subject/>
  <dc:creator>Wootton-Haley, Evan (E.)</dc:creator>
  <cp:keywords/>
  <dc:description/>
  <cp:lastModifiedBy>Mohamed Nadeem</cp:lastModifiedBy>
  <cp:revision/>
  <dcterms:created xsi:type="dcterms:W3CDTF">2021-06-09T08:43:09Z</dcterms:created>
  <dcterms:modified xsi:type="dcterms:W3CDTF">2024-07-30T12:14:46Z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0x010100324D2142EE5B4A4BA4B4C20FFAA593D0</vt:lpwstr>
  </property>
  <property fmtid="{D5CDD505-2E9C-101B-9397-08002B2CF9AE}" pid="3" name="MediaServiceImageTags">
    <vt:lpwstr/>
  </property>
  <property fmtid="{D5CDD505-2E9C-101B-9397-08002B2CF9AE}" pid="4" name="JLROwningLocation">
    <vt:lpwstr/>
  </property>
  <property fmtid="{D5CDD505-2E9C-101B-9397-08002B2CF9AE}" pid="5" name="JLROwningFunction">
    <vt:lpwstr/>
  </property>
  <property fmtid="{D5CDD505-2E9C-101B-9397-08002B2CF9AE}" pid="6" name="Order">
    <vt:r8>25400</vt:r8>
  </property>
  <property fmtid="{D5CDD505-2E9C-101B-9397-08002B2CF9AE}" pid="7" name="xd_Signature">
    <vt:bool>false</vt:bool>
  </property>
  <property fmtid="{D5CDD505-2E9C-101B-9397-08002B2CF9AE}" pid="8" name="xd_ProgID">
    <vt:lpwstr/>
  </property>
  <property fmtid="{D5CDD505-2E9C-101B-9397-08002B2CF9AE}" pid="9" name="_ExtendedDescription">
    <vt:lpwstr/>
  </property>
  <property fmtid="{D5CDD505-2E9C-101B-9397-08002B2CF9AE}" pid="10" name="TriggerFlowInfo">
    <vt:lpwstr/>
  </property>
  <property fmtid="{D5CDD505-2E9C-101B-9397-08002B2CF9AE}" pid="11" name="ComplianceAssetId">
    <vt:lpwstr/>
  </property>
  <property fmtid="{D5CDD505-2E9C-101B-9397-08002B2CF9AE}" pid="12" name="TemplateUrl">
    <vt:lpwstr/>
  </property>
  <property fmtid="{D5CDD505-2E9C-101B-9397-08002B2CF9AE}" pid="13" name="_dlc_DocIdItemGuid">
    <vt:lpwstr>879a2833-b6b3-436c-97ef-1ec8297ea24d</vt:lpwstr>
  </property>
</Properties>
</file>